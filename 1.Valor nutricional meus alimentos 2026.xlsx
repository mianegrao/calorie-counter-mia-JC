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7eb5145c623420/Documentos/"/>
    </mc:Choice>
  </mc:AlternateContent>
  <xr:revisionPtr revIDLastSave="23" documentId="13_ncr:1_{F965D61D-7F81-42EC-A4BB-E7BDA60C4BA5}" xr6:coauthVersionLast="47" xr6:coauthVersionMax="47" xr10:uidLastSave="{E931F330-5472-479C-8E48-48572C0B54E9}"/>
  <bookViews>
    <workbookView xWindow="1110" yWindow="-15315" windowWidth="21015" windowHeight="14130" activeTab="1" xr2:uid="{68A162A5-6D1B-43C0-ABFD-09A8ADC751B0}"/>
  </bookViews>
  <sheets>
    <sheet name="Valor nutricional" sheetId="3" r:id="rId1"/>
    <sheet name="Novo dia" sheetId="7" r:id="rId2"/>
    <sheet name="03-01" sheetId="10" r:id="rId3"/>
    <sheet name="02-01" sheetId="8" r:id="rId4"/>
    <sheet name="01-01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2" i="8" l="1"/>
  <c r="S80" i="10"/>
  <c r="R80" i="10"/>
  <c r="Q80" i="10"/>
  <c r="P80" i="10"/>
  <c r="O80" i="10"/>
  <c r="N80" i="10"/>
  <c r="M80" i="10"/>
  <c r="L80" i="10"/>
  <c r="S79" i="10"/>
  <c r="R79" i="10"/>
  <c r="Q79" i="10"/>
  <c r="P79" i="10"/>
  <c r="O79" i="10"/>
  <c r="N79" i="10"/>
  <c r="M79" i="10"/>
  <c r="L79" i="10"/>
  <c r="S78" i="10"/>
  <c r="R78" i="10"/>
  <c r="Q78" i="10"/>
  <c r="P78" i="10"/>
  <c r="O78" i="10"/>
  <c r="N78" i="10"/>
  <c r="M78" i="10"/>
  <c r="L78" i="10"/>
  <c r="S77" i="10"/>
  <c r="R77" i="10"/>
  <c r="Q77" i="10"/>
  <c r="P77" i="10"/>
  <c r="O77" i="10"/>
  <c r="N77" i="10"/>
  <c r="M77" i="10"/>
  <c r="L77" i="10"/>
  <c r="S76" i="10"/>
  <c r="R76" i="10"/>
  <c r="Q76" i="10"/>
  <c r="P76" i="10"/>
  <c r="O76" i="10"/>
  <c r="N76" i="10"/>
  <c r="M76" i="10"/>
  <c r="L76" i="10"/>
  <c r="S75" i="10"/>
  <c r="R75" i="10"/>
  <c r="Q75" i="10"/>
  <c r="P75" i="10"/>
  <c r="O75" i="10"/>
  <c r="N75" i="10"/>
  <c r="M75" i="10"/>
  <c r="L75" i="10"/>
  <c r="S74" i="10"/>
  <c r="R74" i="10"/>
  <c r="Q74" i="10"/>
  <c r="P74" i="10"/>
  <c r="O74" i="10"/>
  <c r="N74" i="10"/>
  <c r="M74" i="10"/>
  <c r="L74" i="10"/>
  <c r="S73" i="10"/>
  <c r="R73" i="10"/>
  <c r="Q73" i="10"/>
  <c r="P73" i="10"/>
  <c r="O73" i="10"/>
  <c r="N73" i="10"/>
  <c r="M73" i="10"/>
  <c r="L73" i="10"/>
  <c r="S72" i="10"/>
  <c r="R72" i="10"/>
  <c r="Q72" i="10"/>
  <c r="P72" i="10"/>
  <c r="O72" i="10"/>
  <c r="N72" i="10"/>
  <c r="M72" i="10"/>
  <c r="L72" i="10"/>
  <c r="S71" i="10"/>
  <c r="R71" i="10"/>
  <c r="Q71" i="10"/>
  <c r="P71" i="10"/>
  <c r="O71" i="10"/>
  <c r="N71" i="10"/>
  <c r="M71" i="10"/>
  <c r="L71" i="10"/>
  <c r="S70" i="10"/>
  <c r="R70" i="10"/>
  <c r="Q70" i="10"/>
  <c r="P70" i="10"/>
  <c r="O70" i="10"/>
  <c r="N70" i="10"/>
  <c r="M70" i="10"/>
  <c r="L70" i="10"/>
  <c r="S69" i="10"/>
  <c r="R69" i="10"/>
  <c r="Q69" i="10"/>
  <c r="P69" i="10"/>
  <c r="O69" i="10"/>
  <c r="N69" i="10"/>
  <c r="M69" i="10"/>
  <c r="L69" i="10"/>
  <c r="S68" i="10"/>
  <c r="R68" i="10"/>
  <c r="Q68" i="10"/>
  <c r="P68" i="10"/>
  <c r="O68" i="10"/>
  <c r="N68" i="10"/>
  <c r="M68" i="10"/>
  <c r="L68" i="10"/>
  <c r="S67" i="10"/>
  <c r="R67" i="10"/>
  <c r="Q67" i="10"/>
  <c r="P67" i="10"/>
  <c r="O67" i="10"/>
  <c r="N67" i="10"/>
  <c r="M67" i="10"/>
  <c r="L67" i="10"/>
  <c r="S66" i="10"/>
  <c r="R66" i="10"/>
  <c r="Q66" i="10"/>
  <c r="P66" i="10"/>
  <c r="O66" i="10"/>
  <c r="N66" i="10"/>
  <c r="M66" i="10"/>
  <c r="L66" i="10"/>
  <c r="S65" i="10"/>
  <c r="R65" i="10"/>
  <c r="Q65" i="10"/>
  <c r="P65" i="10"/>
  <c r="O65" i="10"/>
  <c r="N65" i="10"/>
  <c r="M65" i="10"/>
  <c r="L65" i="10"/>
  <c r="S64" i="10"/>
  <c r="R64" i="10"/>
  <c r="Q64" i="10"/>
  <c r="P64" i="10"/>
  <c r="O64" i="10"/>
  <c r="N64" i="10"/>
  <c r="M64" i="10"/>
  <c r="L64" i="10"/>
  <c r="S63" i="10"/>
  <c r="R63" i="10"/>
  <c r="Q63" i="10"/>
  <c r="P63" i="10"/>
  <c r="O63" i="10"/>
  <c r="N63" i="10"/>
  <c r="M63" i="10"/>
  <c r="L63" i="10"/>
  <c r="S62" i="10"/>
  <c r="R62" i="10"/>
  <c r="Q62" i="10"/>
  <c r="P62" i="10"/>
  <c r="O62" i="10"/>
  <c r="N62" i="10"/>
  <c r="M62" i="10"/>
  <c r="L62" i="10"/>
  <c r="S61" i="10"/>
  <c r="R61" i="10"/>
  <c r="Q61" i="10"/>
  <c r="P61" i="10"/>
  <c r="O61" i="10"/>
  <c r="N61" i="10"/>
  <c r="M61" i="10"/>
  <c r="L61" i="10"/>
  <c r="S60" i="10"/>
  <c r="R60" i="10"/>
  <c r="Q60" i="10"/>
  <c r="P60" i="10"/>
  <c r="O60" i="10"/>
  <c r="N60" i="10"/>
  <c r="M60" i="10"/>
  <c r="L60" i="10"/>
  <c r="S59" i="10"/>
  <c r="R59" i="10"/>
  <c r="Q59" i="10"/>
  <c r="P59" i="10"/>
  <c r="O59" i="10"/>
  <c r="N59" i="10"/>
  <c r="M59" i="10"/>
  <c r="L59" i="10"/>
  <c r="S58" i="10"/>
  <c r="R58" i="10"/>
  <c r="Q58" i="10"/>
  <c r="P58" i="10"/>
  <c r="O58" i="10"/>
  <c r="N58" i="10"/>
  <c r="M58" i="10"/>
  <c r="L58" i="10"/>
  <c r="S57" i="10"/>
  <c r="R57" i="10"/>
  <c r="Q57" i="10"/>
  <c r="P57" i="10"/>
  <c r="O57" i="10"/>
  <c r="N57" i="10"/>
  <c r="M57" i="10"/>
  <c r="L57" i="10"/>
  <c r="S56" i="10"/>
  <c r="R56" i="10"/>
  <c r="Q56" i="10"/>
  <c r="P56" i="10"/>
  <c r="O56" i="10"/>
  <c r="N56" i="10"/>
  <c r="M56" i="10"/>
  <c r="L56" i="10"/>
  <c r="S55" i="10"/>
  <c r="R55" i="10"/>
  <c r="Q55" i="10"/>
  <c r="P55" i="10"/>
  <c r="O55" i="10"/>
  <c r="N55" i="10"/>
  <c r="M55" i="10"/>
  <c r="L55" i="10"/>
  <c r="S54" i="10"/>
  <c r="R54" i="10"/>
  <c r="Q54" i="10"/>
  <c r="P54" i="10"/>
  <c r="O54" i="10"/>
  <c r="N54" i="10"/>
  <c r="M54" i="10"/>
  <c r="L54" i="10"/>
  <c r="S53" i="10"/>
  <c r="R53" i="10"/>
  <c r="Q53" i="10"/>
  <c r="P53" i="10"/>
  <c r="O53" i="10"/>
  <c r="N53" i="10"/>
  <c r="M53" i="10"/>
  <c r="L53" i="10"/>
  <c r="S52" i="10"/>
  <c r="R52" i="10"/>
  <c r="Q52" i="10"/>
  <c r="P52" i="10"/>
  <c r="O52" i="10"/>
  <c r="N52" i="10"/>
  <c r="M52" i="10"/>
  <c r="L52" i="10"/>
  <c r="S51" i="10"/>
  <c r="R51" i="10"/>
  <c r="Q51" i="10"/>
  <c r="P51" i="10"/>
  <c r="O51" i="10"/>
  <c r="N51" i="10"/>
  <c r="M51" i="10"/>
  <c r="L51" i="10"/>
  <c r="S50" i="10"/>
  <c r="R50" i="10"/>
  <c r="Q50" i="10"/>
  <c r="P50" i="10"/>
  <c r="O50" i="10"/>
  <c r="N50" i="10"/>
  <c r="M50" i="10"/>
  <c r="L50" i="10"/>
  <c r="S49" i="10"/>
  <c r="R49" i="10"/>
  <c r="Q49" i="10"/>
  <c r="P49" i="10"/>
  <c r="O49" i="10"/>
  <c r="N49" i="10"/>
  <c r="M49" i="10"/>
  <c r="L49" i="10"/>
  <c r="S48" i="10"/>
  <c r="R48" i="10"/>
  <c r="Q48" i="10"/>
  <c r="P48" i="10"/>
  <c r="O48" i="10"/>
  <c r="N48" i="10"/>
  <c r="M48" i="10"/>
  <c r="L48" i="10"/>
  <c r="S47" i="10"/>
  <c r="R47" i="10"/>
  <c r="Q47" i="10"/>
  <c r="P47" i="10"/>
  <c r="O47" i="10"/>
  <c r="N47" i="10"/>
  <c r="M47" i="10"/>
  <c r="L47" i="10"/>
  <c r="S46" i="10"/>
  <c r="R46" i="10"/>
  <c r="Q46" i="10"/>
  <c r="P46" i="10"/>
  <c r="O46" i="10"/>
  <c r="N46" i="10"/>
  <c r="M46" i="10"/>
  <c r="L46" i="10"/>
  <c r="S45" i="10"/>
  <c r="R45" i="10"/>
  <c r="Q45" i="10"/>
  <c r="P45" i="10"/>
  <c r="O45" i="10"/>
  <c r="N45" i="10"/>
  <c r="M45" i="10"/>
  <c r="L45" i="10"/>
  <c r="S44" i="10"/>
  <c r="R44" i="10"/>
  <c r="Q44" i="10"/>
  <c r="P44" i="10"/>
  <c r="O44" i="10"/>
  <c r="N44" i="10"/>
  <c r="M44" i="10"/>
  <c r="L44" i="10"/>
  <c r="S43" i="10"/>
  <c r="R43" i="10"/>
  <c r="Q43" i="10"/>
  <c r="P43" i="10"/>
  <c r="O43" i="10"/>
  <c r="N43" i="10"/>
  <c r="M43" i="10"/>
  <c r="L43" i="10"/>
  <c r="S42" i="10"/>
  <c r="R42" i="10"/>
  <c r="Q42" i="10"/>
  <c r="P42" i="10"/>
  <c r="O42" i="10"/>
  <c r="N42" i="10"/>
  <c r="M42" i="10"/>
  <c r="L42" i="10"/>
  <c r="S41" i="10"/>
  <c r="R41" i="10"/>
  <c r="Q41" i="10"/>
  <c r="P41" i="10"/>
  <c r="O41" i="10"/>
  <c r="N41" i="10"/>
  <c r="M41" i="10"/>
  <c r="L41" i="10"/>
  <c r="S40" i="10"/>
  <c r="R40" i="10"/>
  <c r="Q40" i="10"/>
  <c r="P40" i="10"/>
  <c r="O40" i="10"/>
  <c r="N40" i="10"/>
  <c r="M40" i="10"/>
  <c r="L40" i="10"/>
  <c r="S39" i="10"/>
  <c r="R39" i="10"/>
  <c r="Q39" i="10"/>
  <c r="P39" i="10"/>
  <c r="O39" i="10"/>
  <c r="N39" i="10"/>
  <c r="M39" i="10"/>
  <c r="L39" i="10"/>
  <c r="S38" i="10"/>
  <c r="R38" i="10"/>
  <c r="Q38" i="10"/>
  <c r="P38" i="10"/>
  <c r="O38" i="10"/>
  <c r="N38" i="10"/>
  <c r="M38" i="10"/>
  <c r="L38" i="10"/>
  <c r="S37" i="10"/>
  <c r="R37" i="10"/>
  <c r="Q37" i="10"/>
  <c r="P37" i="10"/>
  <c r="O37" i="10"/>
  <c r="N37" i="10"/>
  <c r="M37" i="10"/>
  <c r="L37" i="10"/>
  <c r="S36" i="10"/>
  <c r="R36" i="10"/>
  <c r="Q36" i="10"/>
  <c r="P36" i="10"/>
  <c r="O36" i="10"/>
  <c r="N36" i="10"/>
  <c r="M36" i="10"/>
  <c r="L36" i="10"/>
  <c r="S35" i="10"/>
  <c r="R35" i="10"/>
  <c r="Q35" i="10"/>
  <c r="P35" i="10"/>
  <c r="O35" i="10"/>
  <c r="N35" i="10"/>
  <c r="M35" i="10"/>
  <c r="L35" i="10"/>
  <c r="S34" i="10"/>
  <c r="R34" i="10"/>
  <c r="Q34" i="10"/>
  <c r="P34" i="10"/>
  <c r="O34" i="10"/>
  <c r="N34" i="10"/>
  <c r="M34" i="10"/>
  <c r="L34" i="10"/>
  <c r="S33" i="10"/>
  <c r="R33" i="10"/>
  <c r="Q33" i="10"/>
  <c r="P33" i="10"/>
  <c r="O33" i="10"/>
  <c r="N33" i="10"/>
  <c r="M33" i="10"/>
  <c r="L33" i="10"/>
  <c r="S32" i="10"/>
  <c r="R32" i="10"/>
  <c r="Q32" i="10"/>
  <c r="P32" i="10"/>
  <c r="O32" i="10"/>
  <c r="N32" i="10"/>
  <c r="M32" i="10"/>
  <c r="L32" i="10"/>
  <c r="S31" i="10"/>
  <c r="R31" i="10"/>
  <c r="Q31" i="10"/>
  <c r="P31" i="10"/>
  <c r="O31" i="10"/>
  <c r="N31" i="10"/>
  <c r="M31" i="10"/>
  <c r="L31" i="10"/>
  <c r="S30" i="10"/>
  <c r="R30" i="10"/>
  <c r="Q30" i="10"/>
  <c r="P30" i="10"/>
  <c r="O30" i="10"/>
  <c r="N30" i="10"/>
  <c r="M30" i="10"/>
  <c r="L30" i="10"/>
  <c r="S29" i="10"/>
  <c r="R29" i="10"/>
  <c r="Q29" i="10"/>
  <c r="P29" i="10"/>
  <c r="O29" i="10"/>
  <c r="N29" i="10"/>
  <c r="M29" i="10"/>
  <c r="L29" i="10"/>
  <c r="S28" i="10"/>
  <c r="R28" i="10"/>
  <c r="Q28" i="10"/>
  <c r="P28" i="10"/>
  <c r="O28" i="10"/>
  <c r="N28" i="10"/>
  <c r="M28" i="10"/>
  <c r="L28" i="10"/>
  <c r="S27" i="10"/>
  <c r="R27" i="10"/>
  <c r="Q27" i="10"/>
  <c r="P27" i="10"/>
  <c r="O27" i="10"/>
  <c r="N27" i="10"/>
  <c r="M27" i="10"/>
  <c r="L27" i="10"/>
  <c r="S26" i="10"/>
  <c r="R26" i="10"/>
  <c r="Q26" i="10"/>
  <c r="P26" i="10"/>
  <c r="O26" i="10"/>
  <c r="N26" i="10"/>
  <c r="M26" i="10"/>
  <c r="L26" i="10"/>
  <c r="S25" i="10"/>
  <c r="R25" i="10"/>
  <c r="Q25" i="10"/>
  <c r="P25" i="10"/>
  <c r="O25" i="10"/>
  <c r="N25" i="10"/>
  <c r="M25" i="10"/>
  <c r="L25" i="10"/>
  <c r="S24" i="10"/>
  <c r="R24" i="10"/>
  <c r="Q24" i="10"/>
  <c r="P24" i="10"/>
  <c r="O24" i="10"/>
  <c r="N24" i="10"/>
  <c r="M24" i="10"/>
  <c r="L24" i="10"/>
  <c r="S23" i="10"/>
  <c r="R23" i="10"/>
  <c r="Q23" i="10"/>
  <c r="P23" i="10"/>
  <c r="O23" i="10"/>
  <c r="N23" i="10"/>
  <c r="M23" i="10"/>
  <c r="L23" i="10"/>
  <c r="S22" i="10"/>
  <c r="R22" i="10"/>
  <c r="Q22" i="10"/>
  <c r="P22" i="10"/>
  <c r="O22" i="10"/>
  <c r="N22" i="10"/>
  <c r="M22" i="10"/>
  <c r="L22" i="10"/>
  <c r="S21" i="10"/>
  <c r="R21" i="10"/>
  <c r="Q21" i="10"/>
  <c r="P21" i="10"/>
  <c r="O21" i="10"/>
  <c r="N21" i="10"/>
  <c r="M21" i="10"/>
  <c r="L21" i="10"/>
  <c r="S20" i="10"/>
  <c r="R20" i="10"/>
  <c r="Q20" i="10"/>
  <c r="P20" i="10"/>
  <c r="O20" i="10"/>
  <c r="N20" i="10"/>
  <c r="M20" i="10"/>
  <c r="L20" i="10"/>
  <c r="S19" i="10"/>
  <c r="R19" i="10"/>
  <c r="Q19" i="10"/>
  <c r="P19" i="10"/>
  <c r="O19" i="10"/>
  <c r="N19" i="10"/>
  <c r="M19" i="10"/>
  <c r="L19" i="10"/>
  <c r="S18" i="10"/>
  <c r="R18" i="10"/>
  <c r="Q18" i="10"/>
  <c r="P18" i="10"/>
  <c r="O18" i="10"/>
  <c r="N18" i="10"/>
  <c r="M18" i="10"/>
  <c r="L18" i="10"/>
  <c r="S17" i="10"/>
  <c r="R17" i="10"/>
  <c r="Q17" i="10"/>
  <c r="P17" i="10"/>
  <c r="O17" i="10"/>
  <c r="N17" i="10"/>
  <c r="M17" i="10"/>
  <c r="L17" i="10"/>
  <c r="S16" i="10"/>
  <c r="R16" i="10"/>
  <c r="Q16" i="10"/>
  <c r="P16" i="10"/>
  <c r="O16" i="10"/>
  <c r="N16" i="10"/>
  <c r="M16" i="10"/>
  <c r="L16" i="10"/>
  <c r="S15" i="10"/>
  <c r="R15" i="10"/>
  <c r="Q15" i="10"/>
  <c r="P15" i="10"/>
  <c r="O15" i="10"/>
  <c r="N15" i="10"/>
  <c r="M15" i="10"/>
  <c r="L15" i="10"/>
  <c r="S14" i="10"/>
  <c r="R14" i="10"/>
  <c r="Q14" i="10"/>
  <c r="P14" i="10"/>
  <c r="O14" i="10"/>
  <c r="N14" i="10"/>
  <c r="M14" i="10"/>
  <c r="L14" i="10"/>
  <c r="S13" i="10"/>
  <c r="R13" i="10"/>
  <c r="Q13" i="10"/>
  <c r="P13" i="10"/>
  <c r="O13" i="10"/>
  <c r="N13" i="10"/>
  <c r="M13" i="10"/>
  <c r="L13" i="10"/>
  <c r="S12" i="10"/>
  <c r="R12" i="10"/>
  <c r="Q12" i="10"/>
  <c r="P12" i="10"/>
  <c r="O12" i="10"/>
  <c r="N12" i="10"/>
  <c r="M12" i="10"/>
  <c r="L12" i="10"/>
  <c r="S11" i="10"/>
  <c r="R11" i="10"/>
  <c r="Q11" i="10"/>
  <c r="P11" i="10"/>
  <c r="O11" i="10"/>
  <c r="N11" i="10"/>
  <c r="M11" i="10"/>
  <c r="L11" i="10"/>
  <c r="S10" i="10"/>
  <c r="R10" i="10"/>
  <c r="Q10" i="10"/>
  <c r="P10" i="10"/>
  <c r="O10" i="10"/>
  <c r="N10" i="10"/>
  <c r="M10" i="10"/>
  <c r="L10" i="10"/>
  <c r="S9" i="10"/>
  <c r="R9" i="10"/>
  <c r="Q9" i="10"/>
  <c r="P9" i="10"/>
  <c r="O9" i="10"/>
  <c r="N9" i="10"/>
  <c r="M9" i="10"/>
  <c r="L9" i="10"/>
  <c r="S8" i="10"/>
  <c r="R8" i="10"/>
  <c r="Q8" i="10"/>
  <c r="P8" i="10"/>
  <c r="O8" i="10"/>
  <c r="N8" i="10"/>
  <c r="M8" i="10"/>
  <c r="L8" i="10"/>
  <c r="S7" i="10"/>
  <c r="R7" i="10"/>
  <c r="Q7" i="10"/>
  <c r="P7" i="10"/>
  <c r="O7" i="10"/>
  <c r="N7" i="10"/>
  <c r="M7" i="10"/>
  <c r="L7" i="10"/>
  <c r="S6" i="10"/>
  <c r="R6" i="10"/>
  <c r="Q6" i="10"/>
  <c r="P6" i="10"/>
  <c r="O6" i="10"/>
  <c r="N6" i="10"/>
  <c r="M6" i="10"/>
  <c r="L6" i="10"/>
  <c r="S5" i="10"/>
  <c r="R5" i="10"/>
  <c r="Q5" i="10"/>
  <c r="P5" i="10"/>
  <c r="O5" i="10"/>
  <c r="N5" i="10"/>
  <c r="M5" i="10"/>
  <c r="L5" i="10"/>
  <c r="S4" i="10"/>
  <c r="R4" i="10"/>
  <c r="Q4" i="10"/>
  <c r="P4" i="10"/>
  <c r="O4" i="10"/>
  <c r="N4" i="10"/>
  <c r="M4" i="10"/>
  <c r="L4" i="10"/>
  <c r="S3" i="10"/>
  <c r="S83" i="10" s="1"/>
  <c r="R3" i="10"/>
  <c r="R83" i="10" s="1"/>
  <c r="Q3" i="10"/>
  <c r="P3" i="10"/>
  <c r="P83" i="10" s="1"/>
  <c r="O3" i="10"/>
  <c r="O83" i="10" s="1"/>
  <c r="N3" i="10"/>
  <c r="N83" i="10" s="1"/>
  <c r="M3" i="10"/>
  <c r="L3" i="10"/>
  <c r="L83" i="10" s="1"/>
  <c r="S2" i="10"/>
  <c r="R2" i="10"/>
  <c r="Q2" i="10"/>
  <c r="P2" i="10"/>
  <c r="O2" i="10"/>
  <c r="N2" i="10"/>
  <c r="M2" i="10"/>
  <c r="L2" i="10"/>
  <c r="T83" i="7"/>
  <c r="S83" i="7"/>
  <c r="R83" i="7"/>
  <c r="Q83" i="7"/>
  <c r="P83" i="7"/>
  <c r="O83" i="7"/>
  <c r="N83" i="7"/>
  <c r="M83" i="7"/>
  <c r="L83" i="7"/>
  <c r="U90" i="5"/>
  <c r="T90" i="5"/>
  <c r="T82" i="8"/>
  <c r="U82" i="8"/>
  <c r="M82" i="8"/>
  <c r="S46" i="7"/>
  <c r="R46" i="7"/>
  <c r="Q46" i="7"/>
  <c r="P46" i="7"/>
  <c r="O46" i="7"/>
  <c r="N46" i="7"/>
  <c r="M46" i="7"/>
  <c r="L46" i="7"/>
  <c r="S79" i="8"/>
  <c r="R79" i="8"/>
  <c r="Q79" i="8"/>
  <c r="P79" i="8"/>
  <c r="O79" i="8"/>
  <c r="N79" i="8"/>
  <c r="M79" i="8"/>
  <c r="L79" i="8"/>
  <c r="S78" i="8"/>
  <c r="R78" i="8"/>
  <c r="Q78" i="8"/>
  <c r="P78" i="8"/>
  <c r="O78" i="8"/>
  <c r="N78" i="8"/>
  <c r="M78" i="8"/>
  <c r="L78" i="8"/>
  <c r="S77" i="8"/>
  <c r="R77" i="8"/>
  <c r="Q77" i="8"/>
  <c r="P77" i="8"/>
  <c r="O77" i="8"/>
  <c r="N77" i="8"/>
  <c r="M77" i="8"/>
  <c r="L77" i="8"/>
  <c r="S76" i="8"/>
  <c r="R76" i="8"/>
  <c r="Q76" i="8"/>
  <c r="P76" i="8"/>
  <c r="O76" i="8"/>
  <c r="N76" i="8"/>
  <c r="M76" i="8"/>
  <c r="L76" i="8"/>
  <c r="S75" i="8"/>
  <c r="R75" i="8"/>
  <c r="Q75" i="8"/>
  <c r="P75" i="8"/>
  <c r="O75" i="8"/>
  <c r="N75" i="8"/>
  <c r="M75" i="8"/>
  <c r="L75" i="8"/>
  <c r="S74" i="8"/>
  <c r="R74" i="8"/>
  <c r="Q74" i="8"/>
  <c r="P74" i="8"/>
  <c r="O74" i="8"/>
  <c r="N74" i="8"/>
  <c r="M74" i="8"/>
  <c r="L74" i="8"/>
  <c r="S73" i="8"/>
  <c r="R73" i="8"/>
  <c r="Q73" i="8"/>
  <c r="P73" i="8"/>
  <c r="O73" i="8"/>
  <c r="N73" i="8"/>
  <c r="M73" i="8"/>
  <c r="L73" i="8"/>
  <c r="S72" i="8"/>
  <c r="R72" i="8"/>
  <c r="Q72" i="8"/>
  <c r="P72" i="8"/>
  <c r="O72" i="8"/>
  <c r="N72" i="8"/>
  <c r="M72" i="8"/>
  <c r="L72" i="8"/>
  <c r="S71" i="8"/>
  <c r="R71" i="8"/>
  <c r="Q71" i="8"/>
  <c r="P71" i="8"/>
  <c r="O71" i="8"/>
  <c r="N71" i="8"/>
  <c r="M71" i="8"/>
  <c r="L71" i="8"/>
  <c r="S70" i="8"/>
  <c r="R70" i="8"/>
  <c r="Q70" i="8"/>
  <c r="P70" i="8"/>
  <c r="O70" i="8"/>
  <c r="N70" i="8"/>
  <c r="M70" i="8"/>
  <c r="L70" i="8"/>
  <c r="S69" i="8"/>
  <c r="R69" i="8"/>
  <c r="Q69" i="8"/>
  <c r="P69" i="8"/>
  <c r="O69" i="8"/>
  <c r="N69" i="8"/>
  <c r="M69" i="8"/>
  <c r="L69" i="8"/>
  <c r="S68" i="8"/>
  <c r="R68" i="8"/>
  <c r="Q68" i="8"/>
  <c r="P68" i="8"/>
  <c r="O68" i="8"/>
  <c r="N68" i="8"/>
  <c r="M68" i="8"/>
  <c r="L68" i="8"/>
  <c r="S67" i="8"/>
  <c r="R67" i="8"/>
  <c r="Q67" i="8"/>
  <c r="P67" i="8"/>
  <c r="O67" i="8"/>
  <c r="N67" i="8"/>
  <c r="M67" i="8"/>
  <c r="L67" i="8"/>
  <c r="S66" i="8"/>
  <c r="R66" i="8"/>
  <c r="Q66" i="8"/>
  <c r="P66" i="8"/>
  <c r="O66" i="8"/>
  <c r="N66" i="8"/>
  <c r="M66" i="8"/>
  <c r="L66" i="8"/>
  <c r="S65" i="8"/>
  <c r="R65" i="8"/>
  <c r="Q65" i="8"/>
  <c r="P65" i="8"/>
  <c r="O65" i="8"/>
  <c r="N65" i="8"/>
  <c r="M65" i="8"/>
  <c r="L65" i="8"/>
  <c r="S64" i="8"/>
  <c r="R64" i="8"/>
  <c r="Q64" i="8"/>
  <c r="P64" i="8"/>
  <c r="O64" i="8"/>
  <c r="N64" i="8"/>
  <c r="M64" i="8"/>
  <c r="L64" i="8"/>
  <c r="S63" i="8"/>
  <c r="R63" i="8"/>
  <c r="Q63" i="8"/>
  <c r="P63" i="8"/>
  <c r="O63" i="8"/>
  <c r="N63" i="8"/>
  <c r="M63" i="8"/>
  <c r="L63" i="8"/>
  <c r="S62" i="8"/>
  <c r="R62" i="8"/>
  <c r="Q62" i="8"/>
  <c r="P62" i="8"/>
  <c r="O62" i="8"/>
  <c r="N62" i="8"/>
  <c r="M62" i="8"/>
  <c r="L62" i="8"/>
  <c r="S61" i="8"/>
  <c r="R61" i="8"/>
  <c r="Q61" i="8"/>
  <c r="P61" i="8"/>
  <c r="O61" i="8"/>
  <c r="N61" i="8"/>
  <c r="M61" i="8"/>
  <c r="L61" i="8"/>
  <c r="S60" i="8"/>
  <c r="R60" i="8"/>
  <c r="Q60" i="8"/>
  <c r="P60" i="8"/>
  <c r="O60" i="8"/>
  <c r="N60" i="8"/>
  <c r="M60" i="8"/>
  <c r="L60" i="8"/>
  <c r="S59" i="8"/>
  <c r="R59" i="8"/>
  <c r="Q59" i="8"/>
  <c r="P59" i="8"/>
  <c r="O59" i="8"/>
  <c r="N59" i="8"/>
  <c r="M59" i="8"/>
  <c r="L59" i="8"/>
  <c r="S58" i="8"/>
  <c r="R58" i="8"/>
  <c r="Q58" i="8"/>
  <c r="P58" i="8"/>
  <c r="O58" i="8"/>
  <c r="N58" i="8"/>
  <c r="M58" i="8"/>
  <c r="L58" i="8"/>
  <c r="S57" i="8"/>
  <c r="R57" i="8"/>
  <c r="Q57" i="8"/>
  <c r="P57" i="8"/>
  <c r="O57" i="8"/>
  <c r="N57" i="8"/>
  <c r="M57" i="8"/>
  <c r="L57" i="8"/>
  <c r="S56" i="8"/>
  <c r="R56" i="8"/>
  <c r="Q56" i="8"/>
  <c r="P56" i="8"/>
  <c r="O56" i="8"/>
  <c r="N56" i="8"/>
  <c r="M56" i="8"/>
  <c r="L56" i="8"/>
  <c r="S55" i="8"/>
  <c r="R55" i="8"/>
  <c r="Q55" i="8"/>
  <c r="P55" i="8"/>
  <c r="O55" i="8"/>
  <c r="N55" i="8"/>
  <c r="M55" i="8"/>
  <c r="L55" i="8"/>
  <c r="S54" i="8"/>
  <c r="R54" i="8"/>
  <c r="Q54" i="8"/>
  <c r="P54" i="8"/>
  <c r="O54" i="8"/>
  <c r="N54" i="8"/>
  <c r="M54" i="8"/>
  <c r="L54" i="8"/>
  <c r="S53" i="8"/>
  <c r="R53" i="8"/>
  <c r="Q53" i="8"/>
  <c r="P53" i="8"/>
  <c r="O53" i="8"/>
  <c r="N53" i="8"/>
  <c r="M53" i="8"/>
  <c r="L53" i="8"/>
  <c r="S52" i="8"/>
  <c r="R52" i="8"/>
  <c r="Q52" i="8"/>
  <c r="P52" i="8"/>
  <c r="O52" i="8"/>
  <c r="N52" i="8"/>
  <c r="M52" i="8"/>
  <c r="L52" i="8"/>
  <c r="S51" i="8"/>
  <c r="R51" i="8"/>
  <c r="Q51" i="8"/>
  <c r="P51" i="8"/>
  <c r="O51" i="8"/>
  <c r="N51" i="8"/>
  <c r="M51" i="8"/>
  <c r="L51" i="8"/>
  <c r="S50" i="8"/>
  <c r="R50" i="8"/>
  <c r="Q50" i="8"/>
  <c r="P50" i="8"/>
  <c r="O50" i="8"/>
  <c r="N50" i="8"/>
  <c r="M50" i="8"/>
  <c r="L50" i="8"/>
  <c r="S49" i="8"/>
  <c r="R49" i="8"/>
  <c r="Q49" i="8"/>
  <c r="P49" i="8"/>
  <c r="O49" i="8"/>
  <c r="N49" i="8"/>
  <c r="M49" i="8"/>
  <c r="L49" i="8"/>
  <c r="S48" i="8"/>
  <c r="R48" i="8"/>
  <c r="Q48" i="8"/>
  <c r="P48" i="8"/>
  <c r="O48" i="8"/>
  <c r="N48" i="8"/>
  <c r="M48" i="8"/>
  <c r="L48" i="8"/>
  <c r="S47" i="8"/>
  <c r="R47" i="8"/>
  <c r="Q47" i="8"/>
  <c r="P47" i="8"/>
  <c r="O47" i="8"/>
  <c r="N47" i="8"/>
  <c r="M47" i="8"/>
  <c r="L47" i="8"/>
  <c r="S46" i="8"/>
  <c r="R46" i="8"/>
  <c r="Q46" i="8"/>
  <c r="P46" i="8"/>
  <c r="O46" i="8"/>
  <c r="N46" i="8"/>
  <c r="M46" i="8"/>
  <c r="L46" i="8"/>
  <c r="S45" i="8"/>
  <c r="R45" i="8"/>
  <c r="Q45" i="8"/>
  <c r="P45" i="8"/>
  <c r="O45" i="8"/>
  <c r="N45" i="8"/>
  <c r="M45" i="8"/>
  <c r="L45" i="8"/>
  <c r="S44" i="8"/>
  <c r="R44" i="8"/>
  <c r="Q44" i="8"/>
  <c r="P44" i="8"/>
  <c r="O44" i="8"/>
  <c r="N44" i="8"/>
  <c r="M44" i="8"/>
  <c r="L44" i="8"/>
  <c r="S43" i="8"/>
  <c r="R43" i="8"/>
  <c r="Q43" i="8"/>
  <c r="P43" i="8"/>
  <c r="O43" i="8"/>
  <c r="N43" i="8"/>
  <c r="M43" i="8"/>
  <c r="L43" i="8"/>
  <c r="S42" i="8"/>
  <c r="R42" i="8"/>
  <c r="Q42" i="8"/>
  <c r="P42" i="8"/>
  <c r="O42" i="8"/>
  <c r="N42" i="8"/>
  <c r="M42" i="8"/>
  <c r="L42" i="8"/>
  <c r="S41" i="8"/>
  <c r="R41" i="8"/>
  <c r="Q41" i="8"/>
  <c r="P41" i="8"/>
  <c r="O41" i="8"/>
  <c r="N41" i="8"/>
  <c r="M41" i="8"/>
  <c r="L41" i="8"/>
  <c r="S40" i="8"/>
  <c r="R40" i="8"/>
  <c r="Q40" i="8"/>
  <c r="P40" i="8"/>
  <c r="O40" i="8"/>
  <c r="N40" i="8"/>
  <c r="M40" i="8"/>
  <c r="L40" i="8"/>
  <c r="S39" i="8"/>
  <c r="R39" i="8"/>
  <c r="Q39" i="8"/>
  <c r="P39" i="8"/>
  <c r="O39" i="8"/>
  <c r="N39" i="8"/>
  <c r="M39" i="8"/>
  <c r="L39" i="8"/>
  <c r="S38" i="8"/>
  <c r="R38" i="8"/>
  <c r="Q38" i="8"/>
  <c r="P38" i="8"/>
  <c r="O38" i="8"/>
  <c r="N38" i="8"/>
  <c r="M38" i="8"/>
  <c r="L38" i="8"/>
  <c r="S37" i="8"/>
  <c r="R37" i="8"/>
  <c r="Q37" i="8"/>
  <c r="P37" i="8"/>
  <c r="O37" i="8"/>
  <c r="N37" i="8"/>
  <c r="M37" i="8"/>
  <c r="L37" i="8"/>
  <c r="S36" i="8"/>
  <c r="R36" i="8"/>
  <c r="Q36" i="8"/>
  <c r="P36" i="8"/>
  <c r="O36" i="8"/>
  <c r="N36" i="8"/>
  <c r="M36" i="8"/>
  <c r="L36" i="8"/>
  <c r="S35" i="8"/>
  <c r="R35" i="8"/>
  <c r="Q35" i="8"/>
  <c r="P35" i="8"/>
  <c r="O35" i="8"/>
  <c r="N35" i="8"/>
  <c r="M35" i="8"/>
  <c r="L35" i="8"/>
  <c r="S34" i="8"/>
  <c r="R34" i="8"/>
  <c r="Q34" i="8"/>
  <c r="P34" i="8"/>
  <c r="O34" i="8"/>
  <c r="N34" i="8"/>
  <c r="M34" i="8"/>
  <c r="L34" i="8"/>
  <c r="S33" i="8"/>
  <c r="R33" i="8"/>
  <c r="Q33" i="8"/>
  <c r="P33" i="8"/>
  <c r="O33" i="8"/>
  <c r="N33" i="8"/>
  <c r="M33" i="8"/>
  <c r="L33" i="8"/>
  <c r="S32" i="8"/>
  <c r="R32" i="8"/>
  <c r="Q32" i="8"/>
  <c r="P32" i="8"/>
  <c r="O32" i="8"/>
  <c r="N32" i="8"/>
  <c r="M32" i="8"/>
  <c r="L32" i="8"/>
  <c r="S31" i="8"/>
  <c r="R31" i="8"/>
  <c r="Q31" i="8"/>
  <c r="P31" i="8"/>
  <c r="O31" i="8"/>
  <c r="N31" i="8"/>
  <c r="M31" i="8"/>
  <c r="L31" i="8"/>
  <c r="S30" i="8"/>
  <c r="R30" i="8"/>
  <c r="Q30" i="8"/>
  <c r="P30" i="8"/>
  <c r="O30" i="8"/>
  <c r="N30" i="8"/>
  <c r="M30" i="8"/>
  <c r="L30" i="8"/>
  <c r="S29" i="8"/>
  <c r="R29" i="8"/>
  <c r="Q29" i="8"/>
  <c r="P29" i="8"/>
  <c r="O29" i="8"/>
  <c r="N29" i="8"/>
  <c r="M29" i="8"/>
  <c r="L29" i="8"/>
  <c r="S28" i="8"/>
  <c r="R28" i="8"/>
  <c r="Q28" i="8"/>
  <c r="P28" i="8"/>
  <c r="O28" i="8"/>
  <c r="N28" i="8"/>
  <c r="M28" i="8"/>
  <c r="L28" i="8"/>
  <c r="S27" i="8"/>
  <c r="R27" i="8"/>
  <c r="Q27" i="8"/>
  <c r="P27" i="8"/>
  <c r="O27" i="8"/>
  <c r="N27" i="8"/>
  <c r="M27" i="8"/>
  <c r="L27" i="8"/>
  <c r="S26" i="8"/>
  <c r="R26" i="8"/>
  <c r="Q26" i="8"/>
  <c r="P26" i="8"/>
  <c r="O26" i="8"/>
  <c r="N26" i="8"/>
  <c r="M26" i="8"/>
  <c r="L26" i="8"/>
  <c r="S25" i="8"/>
  <c r="R25" i="8"/>
  <c r="Q25" i="8"/>
  <c r="P25" i="8"/>
  <c r="O25" i="8"/>
  <c r="N25" i="8"/>
  <c r="M25" i="8"/>
  <c r="L25" i="8"/>
  <c r="S24" i="8"/>
  <c r="R24" i="8"/>
  <c r="Q24" i="8"/>
  <c r="P24" i="8"/>
  <c r="O24" i="8"/>
  <c r="N24" i="8"/>
  <c r="M24" i="8"/>
  <c r="L24" i="8"/>
  <c r="S23" i="8"/>
  <c r="R23" i="8"/>
  <c r="Q23" i="8"/>
  <c r="P23" i="8"/>
  <c r="O23" i="8"/>
  <c r="N23" i="8"/>
  <c r="M23" i="8"/>
  <c r="L23" i="8"/>
  <c r="S22" i="8"/>
  <c r="R22" i="8"/>
  <c r="Q22" i="8"/>
  <c r="P22" i="8"/>
  <c r="O22" i="8"/>
  <c r="N22" i="8"/>
  <c r="M22" i="8"/>
  <c r="L22" i="8"/>
  <c r="S21" i="8"/>
  <c r="R21" i="8"/>
  <c r="Q21" i="8"/>
  <c r="P21" i="8"/>
  <c r="O21" i="8"/>
  <c r="N21" i="8"/>
  <c r="M21" i="8"/>
  <c r="L21" i="8"/>
  <c r="S20" i="8"/>
  <c r="R20" i="8"/>
  <c r="Q20" i="8"/>
  <c r="P20" i="8"/>
  <c r="O20" i="8"/>
  <c r="N20" i="8"/>
  <c r="M20" i="8"/>
  <c r="L20" i="8"/>
  <c r="S19" i="8"/>
  <c r="R19" i="8"/>
  <c r="Q19" i="8"/>
  <c r="P19" i="8"/>
  <c r="O19" i="8"/>
  <c r="N19" i="8"/>
  <c r="M19" i="8"/>
  <c r="L19" i="8"/>
  <c r="S18" i="8"/>
  <c r="R18" i="8"/>
  <c r="Q18" i="8"/>
  <c r="P18" i="8"/>
  <c r="O18" i="8"/>
  <c r="N18" i="8"/>
  <c r="M18" i="8"/>
  <c r="L18" i="8"/>
  <c r="S17" i="8"/>
  <c r="R17" i="8"/>
  <c r="Q17" i="8"/>
  <c r="P17" i="8"/>
  <c r="O17" i="8"/>
  <c r="N17" i="8"/>
  <c r="M17" i="8"/>
  <c r="L17" i="8"/>
  <c r="S16" i="8"/>
  <c r="R16" i="8"/>
  <c r="Q16" i="8"/>
  <c r="P16" i="8"/>
  <c r="O16" i="8"/>
  <c r="N16" i="8"/>
  <c r="M16" i="8"/>
  <c r="L16" i="8"/>
  <c r="S15" i="8"/>
  <c r="R15" i="8"/>
  <c r="Q15" i="8"/>
  <c r="P15" i="8"/>
  <c r="O15" i="8"/>
  <c r="N15" i="8"/>
  <c r="M15" i="8"/>
  <c r="L15" i="8"/>
  <c r="S14" i="8"/>
  <c r="R14" i="8"/>
  <c r="Q14" i="8"/>
  <c r="P14" i="8"/>
  <c r="O14" i="8"/>
  <c r="N14" i="8"/>
  <c r="M14" i="8"/>
  <c r="L14" i="8"/>
  <c r="S13" i="8"/>
  <c r="R13" i="8"/>
  <c r="Q13" i="8"/>
  <c r="P13" i="8"/>
  <c r="O13" i="8"/>
  <c r="N13" i="8"/>
  <c r="M13" i="8"/>
  <c r="L13" i="8"/>
  <c r="S12" i="8"/>
  <c r="R12" i="8"/>
  <c r="Q12" i="8"/>
  <c r="P12" i="8"/>
  <c r="O12" i="8"/>
  <c r="N12" i="8"/>
  <c r="M12" i="8"/>
  <c r="L12" i="8"/>
  <c r="S11" i="8"/>
  <c r="R11" i="8"/>
  <c r="Q11" i="8"/>
  <c r="P11" i="8"/>
  <c r="O11" i="8"/>
  <c r="N11" i="8"/>
  <c r="M11" i="8"/>
  <c r="L11" i="8"/>
  <c r="S10" i="8"/>
  <c r="R10" i="8"/>
  <c r="Q10" i="8"/>
  <c r="P10" i="8"/>
  <c r="O10" i="8"/>
  <c r="N10" i="8"/>
  <c r="M10" i="8"/>
  <c r="L10" i="8"/>
  <c r="S9" i="8"/>
  <c r="R9" i="8"/>
  <c r="Q9" i="8"/>
  <c r="P9" i="8"/>
  <c r="O9" i="8"/>
  <c r="N9" i="8"/>
  <c r="M9" i="8"/>
  <c r="L9" i="8"/>
  <c r="S8" i="8"/>
  <c r="R8" i="8"/>
  <c r="Q8" i="8"/>
  <c r="P8" i="8"/>
  <c r="O8" i="8"/>
  <c r="N8" i="8"/>
  <c r="M8" i="8"/>
  <c r="L8" i="8"/>
  <c r="S7" i="8"/>
  <c r="R7" i="8"/>
  <c r="Q7" i="8"/>
  <c r="P7" i="8"/>
  <c r="O7" i="8"/>
  <c r="N7" i="8"/>
  <c r="M7" i="8"/>
  <c r="L7" i="8"/>
  <c r="S6" i="8"/>
  <c r="S82" i="8" s="1"/>
  <c r="R6" i="8"/>
  <c r="R82" i="8" s="1"/>
  <c r="Q6" i="8"/>
  <c r="Q82" i="8" s="1"/>
  <c r="P6" i="8"/>
  <c r="P82" i="8" s="1"/>
  <c r="O6" i="8"/>
  <c r="O82" i="8" s="1"/>
  <c r="N6" i="8"/>
  <c r="N82" i="8" s="1"/>
  <c r="M6" i="8"/>
  <c r="L6" i="8"/>
  <c r="S5" i="8"/>
  <c r="R5" i="8"/>
  <c r="Q5" i="8"/>
  <c r="P5" i="8"/>
  <c r="O5" i="8"/>
  <c r="N5" i="8"/>
  <c r="M5" i="8"/>
  <c r="L5" i="8"/>
  <c r="S4" i="8"/>
  <c r="R4" i="8"/>
  <c r="Q4" i="8"/>
  <c r="P4" i="8"/>
  <c r="O4" i="8"/>
  <c r="N4" i="8"/>
  <c r="M4" i="8"/>
  <c r="L4" i="8"/>
  <c r="S3" i="8"/>
  <c r="R3" i="8"/>
  <c r="Q3" i="8"/>
  <c r="P3" i="8"/>
  <c r="O3" i="8"/>
  <c r="N3" i="8"/>
  <c r="M3" i="8"/>
  <c r="L3" i="8"/>
  <c r="S2" i="8"/>
  <c r="R2" i="8"/>
  <c r="Q2" i="8"/>
  <c r="P2" i="8"/>
  <c r="O2" i="8"/>
  <c r="N2" i="8"/>
  <c r="M2" i="8"/>
  <c r="L2" i="8"/>
  <c r="S60" i="7"/>
  <c r="R60" i="7"/>
  <c r="Q60" i="7"/>
  <c r="P60" i="7"/>
  <c r="O60" i="7"/>
  <c r="N60" i="7"/>
  <c r="M60" i="7"/>
  <c r="L60" i="7"/>
  <c r="S11" i="7"/>
  <c r="R11" i="7"/>
  <c r="Q11" i="7"/>
  <c r="P11" i="7"/>
  <c r="O11" i="7"/>
  <c r="N11" i="7"/>
  <c r="M11" i="7"/>
  <c r="L11" i="7"/>
  <c r="S10" i="7"/>
  <c r="R10" i="7"/>
  <c r="Q10" i="7"/>
  <c r="P10" i="7"/>
  <c r="O10" i="7"/>
  <c r="N10" i="7"/>
  <c r="M10" i="7"/>
  <c r="L10" i="7"/>
  <c r="S9" i="7"/>
  <c r="R9" i="7"/>
  <c r="Q9" i="7"/>
  <c r="P9" i="7"/>
  <c r="O9" i="7"/>
  <c r="N9" i="7"/>
  <c r="M9" i="7"/>
  <c r="L9" i="7"/>
  <c r="S80" i="7"/>
  <c r="R80" i="7"/>
  <c r="Q80" i="7"/>
  <c r="P80" i="7"/>
  <c r="O80" i="7"/>
  <c r="N80" i="7"/>
  <c r="M80" i="7"/>
  <c r="L80" i="7"/>
  <c r="S79" i="7"/>
  <c r="R79" i="7"/>
  <c r="Q79" i="7"/>
  <c r="P79" i="7"/>
  <c r="O79" i="7"/>
  <c r="N79" i="7"/>
  <c r="M79" i="7"/>
  <c r="L79" i="7"/>
  <c r="S78" i="7"/>
  <c r="R78" i="7"/>
  <c r="Q78" i="7"/>
  <c r="P78" i="7"/>
  <c r="O78" i="7"/>
  <c r="N78" i="7"/>
  <c r="M78" i="7"/>
  <c r="L78" i="7"/>
  <c r="S77" i="7"/>
  <c r="R77" i="7"/>
  <c r="Q77" i="7"/>
  <c r="P77" i="7"/>
  <c r="O77" i="7"/>
  <c r="N77" i="7"/>
  <c r="M77" i="7"/>
  <c r="L77" i="7"/>
  <c r="S76" i="7"/>
  <c r="R76" i="7"/>
  <c r="Q76" i="7"/>
  <c r="P76" i="7"/>
  <c r="O76" i="7"/>
  <c r="N76" i="7"/>
  <c r="M76" i="7"/>
  <c r="L76" i="7"/>
  <c r="S75" i="7"/>
  <c r="R75" i="7"/>
  <c r="Q75" i="7"/>
  <c r="P75" i="7"/>
  <c r="O75" i="7"/>
  <c r="N75" i="7"/>
  <c r="M75" i="7"/>
  <c r="L75" i="7"/>
  <c r="S74" i="7"/>
  <c r="R74" i="7"/>
  <c r="Q74" i="7"/>
  <c r="P74" i="7"/>
  <c r="O74" i="7"/>
  <c r="N74" i="7"/>
  <c r="M74" i="7"/>
  <c r="L74" i="7"/>
  <c r="S73" i="7"/>
  <c r="R73" i="7"/>
  <c r="Q73" i="7"/>
  <c r="P73" i="7"/>
  <c r="O73" i="7"/>
  <c r="N73" i="7"/>
  <c r="M73" i="7"/>
  <c r="L73" i="7"/>
  <c r="S72" i="7"/>
  <c r="R72" i="7"/>
  <c r="Q72" i="7"/>
  <c r="P72" i="7"/>
  <c r="O72" i="7"/>
  <c r="N72" i="7"/>
  <c r="M72" i="7"/>
  <c r="L72" i="7"/>
  <c r="S71" i="7"/>
  <c r="R71" i="7"/>
  <c r="Q71" i="7"/>
  <c r="P71" i="7"/>
  <c r="O71" i="7"/>
  <c r="N71" i="7"/>
  <c r="M71" i="7"/>
  <c r="L71" i="7"/>
  <c r="S70" i="7"/>
  <c r="R70" i="7"/>
  <c r="Q70" i="7"/>
  <c r="P70" i="7"/>
  <c r="O70" i="7"/>
  <c r="N70" i="7"/>
  <c r="M70" i="7"/>
  <c r="L70" i="7"/>
  <c r="S69" i="7"/>
  <c r="R69" i="7"/>
  <c r="Q69" i="7"/>
  <c r="P69" i="7"/>
  <c r="O69" i="7"/>
  <c r="N69" i="7"/>
  <c r="M69" i="7"/>
  <c r="L69" i="7"/>
  <c r="S68" i="7"/>
  <c r="R68" i="7"/>
  <c r="Q68" i="7"/>
  <c r="P68" i="7"/>
  <c r="O68" i="7"/>
  <c r="N68" i="7"/>
  <c r="M68" i="7"/>
  <c r="L68" i="7"/>
  <c r="S67" i="7"/>
  <c r="R67" i="7"/>
  <c r="Q67" i="7"/>
  <c r="P67" i="7"/>
  <c r="O67" i="7"/>
  <c r="N67" i="7"/>
  <c r="M67" i="7"/>
  <c r="L67" i="7"/>
  <c r="S66" i="7"/>
  <c r="R66" i="7"/>
  <c r="Q66" i="7"/>
  <c r="P66" i="7"/>
  <c r="O66" i="7"/>
  <c r="N66" i="7"/>
  <c r="M66" i="7"/>
  <c r="L66" i="7"/>
  <c r="S65" i="7"/>
  <c r="R65" i="7"/>
  <c r="Q65" i="7"/>
  <c r="P65" i="7"/>
  <c r="O65" i="7"/>
  <c r="N65" i="7"/>
  <c r="M65" i="7"/>
  <c r="L65" i="7"/>
  <c r="S64" i="7"/>
  <c r="R64" i="7"/>
  <c r="Q64" i="7"/>
  <c r="P64" i="7"/>
  <c r="O64" i="7"/>
  <c r="N64" i="7"/>
  <c r="M64" i="7"/>
  <c r="L64" i="7"/>
  <c r="S63" i="7"/>
  <c r="R63" i="7"/>
  <c r="Q63" i="7"/>
  <c r="P63" i="7"/>
  <c r="O63" i="7"/>
  <c r="N63" i="7"/>
  <c r="M63" i="7"/>
  <c r="L63" i="7"/>
  <c r="S62" i="7"/>
  <c r="R62" i="7"/>
  <c r="Q62" i="7"/>
  <c r="P62" i="7"/>
  <c r="O62" i="7"/>
  <c r="N62" i="7"/>
  <c r="M62" i="7"/>
  <c r="L62" i="7"/>
  <c r="S61" i="7"/>
  <c r="R61" i="7"/>
  <c r="Q61" i="7"/>
  <c r="P61" i="7"/>
  <c r="O61" i="7"/>
  <c r="N61" i="7"/>
  <c r="M61" i="7"/>
  <c r="L61" i="7"/>
  <c r="S59" i="7"/>
  <c r="R59" i="7"/>
  <c r="Q59" i="7"/>
  <c r="P59" i="7"/>
  <c r="O59" i="7"/>
  <c r="N59" i="7"/>
  <c r="M59" i="7"/>
  <c r="L59" i="7"/>
  <c r="S58" i="7"/>
  <c r="R58" i="7"/>
  <c r="Q58" i="7"/>
  <c r="P58" i="7"/>
  <c r="O58" i="7"/>
  <c r="N58" i="7"/>
  <c r="M58" i="7"/>
  <c r="L58" i="7"/>
  <c r="S57" i="7"/>
  <c r="R57" i="7"/>
  <c r="Q57" i="7"/>
  <c r="P57" i="7"/>
  <c r="O57" i="7"/>
  <c r="N57" i="7"/>
  <c r="M57" i="7"/>
  <c r="L57" i="7"/>
  <c r="S56" i="7"/>
  <c r="R56" i="7"/>
  <c r="Q56" i="7"/>
  <c r="P56" i="7"/>
  <c r="O56" i="7"/>
  <c r="N56" i="7"/>
  <c r="M56" i="7"/>
  <c r="L56" i="7"/>
  <c r="S55" i="7"/>
  <c r="R55" i="7"/>
  <c r="Q55" i="7"/>
  <c r="P55" i="7"/>
  <c r="O55" i="7"/>
  <c r="N55" i="7"/>
  <c r="M55" i="7"/>
  <c r="L55" i="7"/>
  <c r="S54" i="7"/>
  <c r="R54" i="7"/>
  <c r="Q54" i="7"/>
  <c r="P54" i="7"/>
  <c r="O54" i="7"/>
  <c r="N54" i="7"/>
  <c r="M54" i="7"/>
  <c r="L54" i="7"/>
  <c r="S53" i="7"/>
  <c r="R53" i="7"/>
  <c r="Q53" i="7"/>
  <c r="P53" i="7"/>
  <c r="O53" i="7"/>
  <c r="N53" i="7"/>
  <c r="M53" i="7"/>
  <c r="L53" i="7"/>
  <c r="S52" i="7"/>
  <c r="R52" i="7"/>
  <c r="Q52" i="7"/>
  <c r="P52" i="7"/>
  <c r="O52" i="7"/>
  <c r="N52" i="7"/>
  <c r="M52" i="7"/>
  <c r="L52" i="7"/>
  <c r="S51" i="7"/>
  <c r="R51" i="7"/>
  <c r="Q51" i="7"/>
  <c r="P51" i="7"/>
  <c r="O51" i="7"/>
  <c r="N51" i="7"/>
  <c r="M51" i="7"/>
  <c r="L51" i="7"/>
  <c r="S50" i="7"/>
  <c r="R50" i="7"/>
  <c r="Q50" i="7"/>
  <c r="P50" i="7"/>
  <c r="O50" i="7"/>
  <c r="N50" i="7"/>
  <c r="M50" i="7"/>
  <c r="L50" i="7"/>
  <c r="S49" i="7"/>
  <c r="R49" i="7"/>
  <c r="Q49" i="7"/>
  <c r="P49" i="7"/>
  <c r="O49" i="7"/>
  <c r="N49" i="7"/>
  <c r="M49" i="7"/>
  <c r="L49" i="7"/>
  <c r="S48" i="7"/>
  <c r="R48" i="7"/>
  <c r="Q48" i="7"/>
  <c r="P48" i="7"/>
  <c r="O48" i="7"/>
  <c r="N48" i="7"/>
  <c r="M48" i="7"/>
  <c r="L48" i="7"/>
  <c r="S47" i="7"/>
  <c r="R47" i="7"/>
  <c r="Q47" i="7"/>
  <c r="P47" i="7"/>
  <c r="O47" i="7"/>
  <c r="N47" i="7"/>
  <c r="M47" i="7"/>
  <c r="L47" i="7"/>
  <c r="S45" i="7"/>
  <c r="R45" i="7"/>
  <c r="Q45" i="7"/>
  <c r="P45" i="7"/>
  <c r="O45" i="7"/>
  <c r="N45" i="7"/>
  <c r="M45" i="7"/>
  <c r="L45" i="7"/>
  <c r="S44" i="7"/>
  <c r="R44" i="7"/>
  <c r="Q44" i="7"/>
  <c r="P44" i="7"/>
  <c r="O44" i="7"/>
  <c r="N44" i="7"/>
  <c r="M44" i="7"/>
  <c r="L44" i="7"/>
  <c r="S43" i="7"/>
  <c r="R43" i="7"/>
  <c r="Q43" i="7"/>
  <c r="P43" i="7"/>
  <c r="O43" i="7"/>
  <c r="N43" i="7"/>
  <c r="M43" i="7"/>
  <c r="L43" i="7"/>
  <c r="S42" i="7"/>
  <c r="R42" i="7"/>
  <c r="Q42" i="7"/>
  <c r="P42" i="7"/>
  <c r="O42" i="7"/>
  <c r="N42" i="7"/>
  <c r="M42" i="7"/>
  <c r="L42" i="7"/>
  <c r="S41" i="7"/>
  <c r="R41" i="7"/>
  <c r="Q41" i="7"/>
  <c r="P41" i="7"/>
  <c r="O41" i="7"/>
  <c r="N41" i="7"/>
  <c r="M41" i="7"/>
  <c r="L41" i="7"/>
  <c r="S40" i="7"/>
  <c r="R40" i="7"/>
  <c r="Q40" i="7"/>
  <c r="P40" i="7"/>
  <c r="O40" i="7"/>
  <c r="N40" i="7"/>
  <c r="M40" i="7"/>
  <c r="L40" i="7"/>
  <c r="S39" i="7"/>
  <c r="R39" i="7"/>
  <c r="Q39" i="7"/>
  <c r="P39" i="7"/>
  <c r="O39" i="7"/>
  <c r="N39" i="7"/>
  <c r="M39" i="7"/>
  <c r="L39" i="7"/>
  <c r="S38" i="7"/>
  <c r="R38" i="7"/>
  <c r="Q38" i="7"/>
  <c r="P38" i="7"/>
  <c r="O38" i="7"/>
  <c r="N38" i="7"/>
  <c r="M38" i="7"/>
  <c r="L38" i="7"/>
  <c r="S37" i="7"/>
  <c r="R37" i="7"/>
  <c r="Q37" i="7"/>
  <c r="P37" i="7"/>
  <c r="O37" i="7"/>
  <c r="N37" i="7"/>
  <c r="M37" i="7"/>
  <c r="L37" i="7"/>
  <c r="S36" i="7"/>
  <c r="R36" i="7"/>
  <c r="Q36" i="7"/>
  <c r="P36" i="7"/>
  <c r="O36" i="7"/>
  <c r="N36" i="7"/>
  <c r="M36" i="7"/>
  <c r="L36" i="7"/>
  <c r="S35" i="7"/>
  <c r="R35" i="7"/>
  <c r="Q35" i="7"/>
  <c r="P35" i="7"/>
  <c r="O35" i="7"/>
  <c r="N35" i="7"/>
  <c r="M35" i="7"/>
  <c r="L35" i="7"/>
  <c r="S34" i="7"/>
  <c r="R34" i="7"/>
  <c r="Q34" i="7"/>
  <c r="P34" i="7"/>
  <c r="O34" i="7"/>
  <c r="N34" i="7"/>
  <c r="M34" i="7"/>
  <c r="L34" i="7"/>
  <c r="S33" i="7"/>
  <c r="R33" i="7"/>
  <c r="Q33" i="7"/>
  <c r="P33" i="7"/>
  <c r="O33" i="7"/>
  <c r="N33" i="7"/>
  <c r="M33" i="7"/>
  <c r="L33" i="7"/>
  <c r="S32" i="7"/>
  <c r="R32" i="7"/>
  <c r="Q32" i="7"/>
  <c r="P32" i="7"/>
  <c r="O32" i="7"/>
  <c r="N32" i="7"/>
  <c r="M32" i="7"/>
  <c r="L32" i="7"/>
  <c r="S31" i="7"/>
  <c r="R31" i="7"/>
  <c r="Q31" i="7"/>
  <c r="P31" i="7"/>
  <c r="O31" i="7"/>
  <c r="N31" i="7"/>
  <c r="M31" i="7"/>
  <c r="L31" i="7"/>
  <c r="S30" i="7"/>
  <c r="R30" i="7"/>
  <c r="Q30" i="7"/>
  <c r="P30" i="7"/>
  <c r="O30" i="7"/>
  <c r="N30" i="7"/>
  <c r="M30" i="7"/>
  <c r="L30" i="7"/>
  <c r="S29" i="7"/>
  <c r="R29" i="7"/>
  <c r="Q29" i="7"/>
  <c r="P29" i="7"/>
  <c r="O29" i="7"/>
  <c r="N29" i="7"/>
  <c r="M29" i="7"/>
  <c r="L29" i="7"/>
  <c r="S28" i="7"/>
  <c r="R28" i="7"/>
  <c r="Q28" i="7"/>
  <c r="P28" i="7"/>
  <c r="O28" i="7"/>
  <c r="N28" i="7"/>
  <c r="M28" i="7"/>
  <c r="L28" i="7"/>
  <c r="S27" i="7"/>
  <c r="R27" i="7"/>
  <c r="Q27" i="7"/>
  <c r="P27" i="7"/>
  <c r="O27" i="7"/>
  <c r="N27" i="7"/>
  <c r="M27" i="7"/>
  <c r="L27" i="7"/>
  <c r="S26" i="7"/>
  <c r="R26" i="7"/>
  <c r="Q26" i="7"/>
  <c r="P26" i="7"/>
  <c r="O26" i="7"/>
  <c r="N26" i="7"/>
  <c r="M26" i="7"/>
  <c r="L26" i="7"/>
  <c r="S25" i="7"/>
  <c r="R25" i="7"/>
  <c r="Q25" i="7"/>
  <c r="P25" i="7"/>
  <c r="O25" i="7"/>
  <c r="N25" i="7"/>
  <c r="M25" i="7"/>
  <c r="L25" i="7"/>
  <c r="S24" i="7"/>
  <c r="R24" i="7"/>
  <c r="Q24" i="7"/>
  <c r="P24" i="7"/>
  <c r="O24" i="7"/>
  <c r="N24" i="7"/>
  <c r="M24" i="7"/>
  <c r="L24" i="7"/>
  <c r="S23" i="7"/>
  <c r="R23" i="7"/>
  <c r="Q23" i="7"/>
  <c r="P23" i="7"/>
  <c r="O23" i="7"/>
  <c r="N23" i="7"/>
  <c r="M23" i="7"/>
  <c r="L23" i="7"/>
  <c r="S22" i="7"/>
  <c r="R22" i="7"/>
  <c r="Q22" i="7"/>
  <c r="P22" i="7"/>
  <c r="O22" i="7"/>
  <c r="N22" i="7"/>
  <c r="M22" i="7"/>
  <c r="L22" i="7"/>
  <c r="S21" i="7"/>
  <c r="R21" i="7"/>
  <c r="Q21" i="7"/>
  <c r="P21" i="7"/>
  <c r="O21" i="7"/>
  <c r="N21" i="7"/>
  <c r="M21" i="7"/>
  <c r="L21" i="7"/>
  <c r="S20" i="7"/>
  <c r="R20" i="7"/>
  <c r="Q20" i="7"/>
  <c r="P20" i="7"/>
  <c r="O20" i="7"/>
  <c r="N20" i="7"/>
  <c r="M20" i="7"/>
  <c r="L20" i="7"/>
  <c r="S19" i="7"/>
  <c r="R19" i="7"/>
  <c r="Q19" i="7"/>
  <c r="P19" i="7"/>
  <c r="O19" i="7"/>
  <c r="N19" i="7"/>
  <c r="M19" i="7"/>
  <c r="L19" i="7"/>
  <c r="S18" i="7"/>
  <c r="R18" i="7"/>
  <c r="Q18" i="7"/>
  <c r="P18" i="7"/>
  <c r="O18" i="7"/>
  <c r="N18" i="7"/>
  <c r="M18" i="7"/>
  <c r="L18" i="7"/>
  <c r="S17" i="7"/>
  <c r="R17" i="7"/>
  <c r="Q17" i="7"/>
  <c r="P17" i="7"/>
  <c r="O17" i="7"/>
  <c r="N17" i="7"/>
  <c r="M17" i="7"/>
  <c r="L17" i="7"/>
  <c r="S16" i="7"/>
  <c r="R16" i="7"/>
  <c r="Q16" i="7"/>
  <c r="P16" i="7"/>
  <c r="O16" i="7"/>
  <c r="N16" i="7"/>
  <c r="M16" i="7"/>
  <c r="L16" i="7"/>
  <c r="S15" i="7"/>
  <c r="R15" i="7"/>
  <c r="Q15" i="7"/>
  <c r="P15" i="7"/>
  <c r="O15" i="7"/>
  <c r="N15" i="7"/>
  <c r="M15" i="7"/>
  <c r="L15" i="7"/>
  <c r="S14" i="7"/>
  <c r="R14" i="7"/>
  <c r="Q14" i="7"/>
  <c r="P14" i="7"/>
  <c r="O14" i="7"/>
  <c r="N14" i="7"/>
  <c r="M14" i="7"/>
  <c r="L14" i="7"/>
  <c r="S13" i="7"/>
  <c r="R13" i="7"/>
  <c r="Q13" i="7"/>
  <c r="P13" i="7"/>
  <c r="O13" i="7"/>
  <c r="N13" i="7"/>
  <c r="M13" i="7"/>
  <c r="L13" i="7"/>
  <c r="S12" i="7"/>
  <c r="R12" i="7"/>
  <c r="Q12" i="7"/>
  <c r="P12" i="7"/>
  <c r="O12" i="7"/>
  <c r="N12" i="7"/>
  <c r="M12" i="7"/>
  <c r="L12" i="7"/>
  <c r="S8" i="7"/>
  <c r="R8" i="7"/>
  <c r="Q8" i="7"/>
  <c r="P8" i="7"/>
  <c r="O8" i="7"/>
  <c r="N8" i="7"/>
  <c r="M8" i="7"/>
  <c r="L8" i="7"/>
  <c r="S7" i="7"/>
  <c r="R7" i="7"/>
  <c r="Q7" i="7"/>
  <c r="P7" i="7"/>
  <c r="O7" i="7"/>
  <c r="N7" i="7"/>
  <c r="M7" i="7"/>
  <c r="L7" i="7"/>
  <c r="S6" i="7"/>
  <c r="R6" i="7"/>
  <c r="Q6" i="7"/>
  <c r="P6" i="7"/>
  <c r="O6" i="7"/>
  <c r="N6" i="7"/>
  <c r="M6" i="7"/>
  <c r="L6" i="7"/>
  <c r="S5" i="7"/>
  <c r="R5" i="7"/>
  <c r="Q5" i="7"/>
  <c r="P5" i="7"/>
  <c r="O5" i="7"/>
  <c r="N5" i="7"/>
  <c r="M5" i="7"/>
  <c r="L5" i="7"/>
  <c r="S4" i="7"/>
  <c r="R4" i="7"/>
  <c r="Q4" i="7"/>
  <c r="P4" i="7"/>
  <c r="O4" i="7"/>
  <c r="N4" i="7"/>
  <c r="M4" i="7"/>
  <c r="L4" i="7"/>
  <c r="S3" i="7"/>
  <c r="R3" i="7"/>
  <c r="Q3" i="7"/>
  <c r="P3" i="7"/>
  <c r="O3" i="7"/>
  <c r="N3" i="7"/>
  <c r="M3" i="7"/>
  <c r="L3" i="7"/>
  <c r="S2" i="7"/>
  <c r="R2" i="7"/>
  <c r="Q2" i="7"/>
  <c r="P2" i="7"/>
  <c r="O2" i="7"/>
  <c r="N2" i="7"/>
  <c r="M2" i="7"/>
  <c r="L2" i="7"/>
  <c r="S87" i="5"/>
  <c r="R87" i="5"/>
  <c r="Q87" i="5"/>
  <c r="P87" i="5"/>
  <c r="O87" i="5"/>
  <c r="N87" i="5"/>
  <c r="M87" i="5"/>
  <c r="L87" i="5"/>
  <c r="S86" i="5"/>
  <c r="R86" i="5"/>
  <c r="Q86" i="5"/>
  <c r="P86" i="5"/>
  <c r="O86" i="5"/>
  <c r="N86" i="5"/>
  <c r="M86" i="5"/>
  <c r="L86" i="5"/>
  <c r="S85" i="5"/>
  <c r="R85" i="5"/>
  <c r="Q85" i="5"/>
  <c r="P85" i="5"/>
  <c r="O85" i="5"/>
  <c r="N85" i="5"/>
  <c r="M85" i="5"/>
  <c r="L85" i="5"/>
  <c r="S84" i="5"/>
  <c r="R84" i="5"/>
  <c r="Q84" i="5"/>
  <c r="P84" i="5"/>
  <c r="O84" i="5"/>
  <c r="N84" i="5"/>
  <c r="M84" i="5"/>
  <c r="L84" i="5"/>
  <c r="S83" i="5"/>
  <c r="R83" i="5"/>
  <c r="Q83" i="5"/>
  <c r="P83" i="5"/>
  <c r="O83" i="5"/>
  <c r="N83" i="5"/>
  <c r="M83" i="5"/>
  <c r="L83" i="5"/>
  <c r="S82" i="5"/>
  <c r="R82" i="5"/>
  <c r="Q82" i="5"/>
  <c r="P82" i="5"/>
  <c r="O82" i="5"/>
  <c r="N82" i="5"/>
  <c r="M82" i="5"/>
  <c r="L82" i="5"/>
  <c r="S81" i="5"/>
  <c r="R81" i="5"/>
  <c r="Q81" i="5"/>
  <c r="P81" i="5"/>
  <c r="O81" i="5"/>
  <c r="N81" i="5"/>
  <c r="M81" i="5"/>
  <c r="L81" i="5"/>
  <c r="S80" i="5"/>
  <c r="R80" i="5"/>
  <c r="Q80" i="5"/>
  <c r="P80" i="5"/>
  <c r="O80" i="5"/>
  <c r="N80" i="5"/>
  <c r="M80" i="5"/>
  <c r="L80" i="5"/>
  <c r="S79" i="5"/>
  <c r="R79" i="5"/>
  <c r="Q79" i="5"/>
  <c r="P79" i="5"/>
  <c r="O79" i="5"/>
  <c r="N79" i="5"/>
  <c r="M79" i="5"/>
  <c r="L79" i="5"/>
  <c r="S78" i="5"/>
  <c r="R78" i="5"/>
  <c r="Q78" i="5"/>
  <c r="P78" i="5"/>
  <c r="O78" i="5"/>
  <c r="N78" i="5"/>
  <c r="M78" i="5"/>
  <c r="L78" i="5"/>
  <c r="S77" i="5"/>
  <c r="R77" i="5"/>
  <c r="Q77" i="5"/>
  <c r="P77" i="5"/>
  <c r="O77" i="5"/>
  <c r="N77" i="5"/>
  <c r="M77" i="5"/>
  <c r="L77" i="5"/>
  <c r="S76" i="5"/>
  <c r="R76" i="5"/>
  <c r="Q76" i="5"/>
  <c r="P76" i="5"/>
  <c r="O76" i="5"/>
  <c r="N76" i="5"/>
  <c r="M76" i="5"/>
  <c r="L76" i="5"/>
  <c r="S75" i="5"/>
  <c r="R75" i="5"/>
  <c r="Q75" i="5"/>
  <c r="P75" i="5"/>
  <c r="O75" i="5"/>
  <c r="N75" i="5"/>
  <c r="M75" i="5"/>
  <c r="L75" i="5"/>
  <c r="S74" i="5"/>
  <c r="R74" i="5"/>
  <c r="Q74" i="5"/>
  <c r="P74" i="5"/>
  <c r="O74" i="5"/>
  <c r="N74" i="5"/>
  <c r="M74" i="5"/>
  <c r="L74" i="5"/>
  <c r="S73" i="5"/>
  <c r="R73" i="5"/>
  <c r="Q73" i="5"/>
  <c r="P73" i="5"/>
  <c r="O73" i="5"/>
  <c r="N73" i="5"/>
  <c r="M73" i="5"/>
  <c r="L73" i="5"/>
  <c r="S72" i="5"/>
  <c r="R72" i="5"/>
  <c r="Q72" i="5"/>
  <c r="P72" i="5"/>
  <c r="O72" i="5"/>
  <c r="N72" i="5"/>
  <c r="M72" i="5"/>
  <c r="L72" i="5"/>
  <c r="S71" i="5"/>
  <c r="R71" i="5"/>
  <c r="Q71" i="5"/>
  <c r="P71" i="5"/>
  <c r="O71" i="5"/>
  <c r="N71" i="5"/>
  <c r="M71" i="5"/>
  <c r="L71" i="5"/>
  <c r="S70" i="5"/>
  <c r="R70" i="5"/>
  <c r="Q70" i="5"/>
  <c r="P70" i="5"/>
  <c r="O70" i="5"/>
  <c r="N70" i="5"/>
  <c r="M70" i="5"/>
  <c r="L70" i="5"/>
  <c r="S69" i="5"/>
  <c r="R69" i="5"/>
  <c r="Q69" i="5"/>
  <c r="P69" i="5"/>
  <c r="O69" i="5"/>
  <c r="N69" i="5"/>
  <c r="M69" i="5"/>
  <c r="L69" i="5"/>
  <c r="S68" i="5"/>
  <c r="R68" i="5"/>
  <c r="Q68" i="5"/>
  <c r="P68" i="5"/>
  <c r="O68" i="5"/>
  <c r="N68" i="5"/>
  <c r="M68" i="5"/>
  <c r="L68" i="5"/>
  <c r="S67" i="5"/>
  <c r="R67" i="5"/>
  <c r="Q67" i="5"/>
  <c r="P67" i="5"/>
  <c r="O67" i="5"/>
  <c r="N67" i="5"/>
  <c r="M67" i="5"/>
  <c r="L67" i="5"/>
  <c r="S66" i="5"/>
  <c r="R66" i="5"/>
  <c r="Q66" i="5"/>
  <c r="P66" i="5"/>
  <c r="O66" i="5"/>
  <c r="N66" i="5"/>
  <c r="M66" i="5"/>
  <c r="L66" i="5"/>
  <c r="S65" i="5"/>
  <c r="R65" i="5"/>
  <c r="Q65" i="5"/>
  <c r="P65" i="5"/>
  <c r="O65" i="5"/>
  <c r="N65" i="5"/>
  <c r="M65" i="5"/>
  <c r="L65" i="5"/>
  <c r="S64" i="5"/>
  <c r="R64" i="5"/>
  <c r="Q64" i="5"/>
  <c r="P64" i="5"/>
  <c r="O64" i="5"/>
  <c r="N64" i="5"/>
  <c r="M64" i="5"/>
  <c r="L64" i="5"/>
  <c r="S63" i="5"/>
  <c r="R63" i="5"/>
  <c r="Q63" i="5"/>
  <c r="P63" i="5"/>
  <c r="O63" i="5"/>
  <c r="N63" i="5"/>
  <c r="M63" i="5"/>
  <c r="L63" i="5"/>
  <c r="S62" i="5"/>
  <c r="R62" i="5"/>
  <c r="Q62" i="5"/>
  <c r="P62" i="5"/>
  <c r="O62" i="5"/>
  <c r="N62" i="5"/>
  <c r="M62" i="5"/>
  <c r="L62" i="5"/>
  <c r="S61" i="5"/>
  <c r="R61" i="5"/>
  <c r="Q61" i="5"/>
  <c r="P61" i="5"/>
  <c r="O61" i="5"/>
  <c r="N61" i="5"/>
  <c r="M61" i="5"/>
  <c r="L61" i="5"/>
  <c r="S60" i="5"/>
  <c r="R60" i="5"/>
  <c r="Q60" i="5"/>
  <c r="P60" i="5"/>
  <c r="O60" i="5"/>
  <c r="N60" i="5"/>
  <c r="M60" i="5"/>
  <c r="L60" i="5"/>
  <c r="S59" i="5"/>
  <c r="R59" i="5"/>
  <c r="Q59" i="5"/>
  <c r="P59" i="5"/>
  <c r="O59" i="5"/>
  <c r="N59" i="5"/>
  <c r="M59" i="5"/>
  <c r="L59" i="5"/>
  <c r="S58" i="5"/>
  <c r="R58" i="5"/>
  <c r="Q58" i="5"/>
  <c r="P58" i="5"/>
  <c r="O58" i="5"/>
  <c r="N58" i="5"/>
  <c r="M58" i="5"/>
  <c r="L58" i="5"/>
  <c r="S57" i="5"/>
  <c r="R57" i="5"/>
  <c r="Q57" i="5"/>
  <c r="P57" i="5"/>
  <c r="O57" i="5"/>
  <c r="N57" i="5"/>
  <c r="M57" i="5"/>
  <c r="L57" i="5"/>
  <c r="S56" i="5"/>
  <c r="R56" i="5"/>
  <c r="Q56" i="5"/>
  <c r="P56" i="5"/>
  <c r="O56" i="5"/>
  <c r="N56" i="5"/>
  <c r="M56" i="5"/>
  <c r="L56" i="5"/>
  <c r="S55" i="5"/>
  <c r="R55" i="5"/>
  <c r="Q55" i="5"/>
  <c r="P55" i="5"/>
  <c r="O55" i="5"/>
  <c r="N55" i="5"/>
  <c r="M55" i="5"/>
  <c r="L55" i="5"/>
  <c r="S54" i="5"/>
  <c r="R54" i="5"/>
  <c r="Q54" i="5"/>
  <c r="P54" i="5"/>
  <c r="O54" i="5"/>
  <c r="N54" i="5"/>
  <c r="M54" i="5"/>
  <c r="L54" i="5"/>
  <c r="S53" i="5"/>
  <c r="R53" i="5"/>
  <c r="Q53" i="5"/>
  <c r="P53" i="5"/>
  <c r="O53" i="5"/>
  <c r="N53" i="5"/>
  <c r="M53" i="5"/>
  <c r="L53" i="5"/>
  <c r="S52" i="5"/>
  <c r="R52" i="5"/>
  <c r="Q52" i="5"/>
  <c r="P52" i="5"/>
  <c r="O52" i="5"/>
  <c r="N52" i="5"/>
  <c r="M52" i="5"/>
  <c r="L52" i="5"/>
  <c r="S51" i="5"/>
  <c r="R51" i="5"/>
  <c r="Q51" i="5"/>
  <c r="P51" i="5"/>
  <c r="O51" i="5"/>
  <c r="N51" i="5"/>
  <c r="M51" i="5"/>
  <c r="L51" i="5"/>
  <c r="S50" i="5"/>
  <c r="R50" i="5"/>
  <c r="Q50" i="5"/>
  <c r="P50" i="5"/>
  <c r="O50" i="5"/>
  <c r="N50" i="5"/>
  <c r="M50" i="5"/>
  <c r="L50" i="5"/>
  <c r="S49" i="5"/>
  <c r="R49" i="5"/>
  <c r="Q49" i="5"/>
  <c r="P49" i="5"/>
  <c r="O49" i="5"/>
  <c r="N49" i="5"/>
  <c r="M49" i="5"/>
  <c r="L49" i="5"/>
  <c r="S48" i="5"/>
  <c r="R48" i="5"/>
  <c r="Q48" i="5"/>
  <c r="P48" i="5"/>
  <c r="O48" i="5"/>
  <c r="N48" i="5"/>
  <c r="M48" i="5"/>
  <c r="L48" i="5"/>
  <c r="S47" i="5"/>
  <c r="R47" i="5"/>
  <c r="Q47" i="5"/>
  <c r="P47" i="5"/>
  <c r="O47" i="5"/>
  <c r="N47" i="5"/>
  <c r="M47" i="5"/>
  <c r="L47" i="5"/>
  <c r="S46" i="5"/>
  <c r="R46" i="5"/>
  <c r="Q46" i="5"/>
  <c r="P46" i="5"/>
  <c r="O46" i="5"/>
  <c r="N46" i="5"/>
  <c r="M46" i="5"/>
  <c r="L46" i="5"/>
  <c r="S44" i="5"/>
  <c r="R44" i="5"/>
  <c r="Q44" i="5"/>
  <c r="P44" i="5"/>
  <c r="O44" i="5"/>
  <c r="N44" i="5"/>
  <c r="M44" i="5"/>
  <c r="L44" i="5"/>
  <c r="S43" i="5"/>
  <c r="R43" i="5"/>
  <c r="Q43" i="5"/>
  <c r="P43" i="5"/>
  <c r="O43" i="5"/>
  <c r="N43" i="5"/>
  <c r="M43" i="5"/>
  <c r="L43" i="5"/>
  <c r="S42" i="5"/>
  <c r="R42" i="5"/>
  <c r="Q42" i="5"/>
  <c r="P42" i="5"/>
  <c r="O42" i="5"/>
  <c r="N42" i="5"/>
  <c r="M42" i="5"/>
  <c r="L42" i="5"/>
  <c r="S41" i="5"/>
  <c r="R41" i="5"/>
  <c r="Q41" i="5"/>
  <c r="P41" i="5"/>
  <c r="O41" i="5"/>
  <c r="N41" i="5"/>
  <c r="M41" i="5"/>
  <c r="L41" i="5"/>
  <c r="S40" i="5"/>
  <c r="R40" i="5"/>
  <c r="Q40" i="5"/>
  <c r="P40" i="5"/>
  <c r="O40" i="5"/>
  <c r="N40" i="5"/>
  <c r="M40" i="5"/>
  <c r="L40" i="5"/>
  <c r="S39" i="5"/>
  <c r="R39" i="5"/>
  <c r="Q39" i="5"/>
  <c r="P39" i="5"/>
  <c r="O39" i="5"/>
  <c r="N39" i="5"/>
  <c r="M39" i="5"/>
  <c r="L39" i="5"/>
  <c r="S38" i="5"/>
  <c r="R38" i="5"/>
  <c r="Q38" i="5"/>
  <c r="P38" i="5"/>
  <c r="O38" i="5"/>
  <c r="N38" i="5"/>
  <c r="M38" i="5"/>
  <c r="L38" i="5"/>
  <c r="S37" i="5"/>
  <c r="R37" i="5"/>
  <c r="Q37" i="5"/>
  <c r="P37" i="5"/>
  <c r="O37" i="5"/>
  <c r="N37" i="5"/>
  <c r="M37" i="5"/>
  <c r="L37" i="5"/>
  <c r="S36" i="5"/>
  <c r="R36" i="5"/>
  <c r="Q36" i="5"/>
  <c r="P36" i="5"/>
  <c r="O36" i="5"/>
  <c r="N36" i="5"/>
  <c r="M36" i="5"/>
  <c r="L36" i="5"/>
  <c r="S35" i="5"/>
  <c r="R35" i="5"/>
  <c r="Q35" i="5"/>
  <c r="P35" i="5"/>
  <c r="O35" i="5"/>
  <c r="N35" i="5"/>
  <c r="M35" i="5"/>
  <c r="L35" i="5"/>
  <c r="S34" i="5"/>
  <c r="R34" i="5"/>
  <c r="Q34" i="5"/>
  <c r="P34" i="5"/>
  <c r="O34" i="5"/>
  <c r="N34" i="5"/>
  <c r="M34" i="5"/>
  <c r="L34" i="5"/>
  <c r="S33" i="5"/>
  <c r="R33" i="5"/>
  <c r="Q33" i="5"/>
  <c r="P33" i="5"/>
  <c r="O33" i="5"/>
  <c r="N33" i="5"/>
  <c r="M33" i="5"/>
  <c r="L33" i="5"/>
  <c r="S32" i="5"/>
  <c r="R32" i="5"/>
  <c r="Q32" i="5"/>
  <c r="P32" i="5"/>
  <c r="O32" i="5"/>
  <c r="N32" i="5"/>
  <c r="M32" i="5"/>
  <c r="L32" i="5"/>
  <c r="S31" i="5"/>
  <c r="R31" i="5"/>
  <c r="Q31" i="5"/>
  <c r="P31" i="5"/>
  <c r="O31" i="5"/>
  <c r="N31" i="5"/>
  <c r="M31" i="5"/>
  <c r="L31" i="5"/>
  <c r="S30" i="5"/>
  <c r="R30" i="5"/>
  <c r="Q30" i="5"/>
  <c r="P30" i="5"/>
  <c r="O30" i="5"/>
  <c r="N30" i="5"/>
  <c r="M30" i="5"/>
  <c r="L30" i="5"/>
  <c r="S29" i="5"/>
  <c r="R29" i="5"/>
  <c r="Q29" i="5"/>
  <c r="P29" i="5"/>
  <c r="O29" i="5"/>
  <c r="N29" i="5"/>
  <c r="M29" i="5"/>
  <c r="L29" i="5"/>
  <c r="S28" i="5"/>
  <c r="R28" i="5"/>
  <c r="Q28" i="5"/>
  <c r="P28" i="5"/>
  <c r="O28" i="5"/>
  <c r="N28" i="5"/>
  <c r="M28" i="5"/>
  <c r="L28" i="5"/>
  <c r="S27" i="5"/>
  <c r="R27" i="5"/>
  <c r="Q27" i="5"/>
  <c r="P27" i="5"/>
  <c r="O27" i="5"/>
  <c r="N27" i="5"/>
  <c r="M27" i="5"/>
  <c r="L27" i="5"/>
  <c r="S26" i="5"/>
  <c r="R26" i="5"/>
  <c r="Q26" i="5"/>
  <c r="P26" i="5"/>
  <c r="O26" i="5"/>
  <c r="N26" i="5"/>
  <c r="M26" i="5"/>
  <c r="L26" i="5"/>
  <c r="S25" i="5"/>
  <c r="R25" i="5"/>
  <c r="Q25" i="5"/>
  <c r="P25" i="5"/>
  <c r="O25" i="5"/>
  <c r="N25" i="5"/>
  <c r="M25" i="5"/>
  <c r="L25" i="5"/>
  <c r="S24" i="5"/>
  <c r="R24" i="5"/>
  <c r="Q24" i="5"/>
  <c r="P24" i="5"/>
  <c r="O24" i="5"/>
  <c r="N24" i="5"/>
  <c r="M24" i="5"/>
  <c r="L24" i="5"/>
  <c r="S23" i="5"/>
  <c r="R23" i="5"/>
  <c r="Q23" i="5"/>
  <c r="P23" i="5"/>
  <c r="O23" i="5"/>
  <c r="N23" i="5"/>
  <c r="M23" i="5"/>
  <c r="L23" i="5"/>
  <c r="S22" i="5"/>
  <c r="R22" i="5"/>
  <c r="Q22" i="5"/>
  <c r="P22" i="5"/>
  <c r="O22" i="5"/>
  <c r="N22" i="5"/>
  <c r="M22" i="5"/>
  <c r="L22" i="5"/>
  <c r="S21" i="5"/>
  <c r="R21" i="5"/>
  <c r="Q21" i="5"/>
  <c r="P21" i="5"/>
  <c r="O21" i="5"/>
  <c r="N21" i="5"/>
  <c r="M21" i="5"/>
  <c r="L21" i="5"/>
  <c r="S20" i="5"/>
  <c r="R20" i="5"/>
  <c r="Q20" i="5"/>
  <c r="P20" i="5"/>
  <c r="O20" i="5"/>
  <c r="N20" i="5"/>
  <c r="M20" i="5"/>
  <c r="L20" i="5"/>
  <c r="S19" i="5"/>
  <c r="R19" i="5"/>
  <c r="Q19" i="5"/>
  <c r="P19" i="5"/>
  <c r="O19" i="5"/>
  <c r="N19" i="5"/>
  <c r="M19" i="5"/>
  <c r="L19" i="5"/>
  <c r="S18" i="5"/>
  <c r="R18" i="5"/>
  <c r="Q18" i="5"/>
  <c r="P18" i="5"/>
  <c r="O18" i="5"/>
  <c r="N18" i="5"/>
  <c r="M18" i="5"/>
  <c r="L18" i="5"/>
  <c r="S17" i="5"/>
  <c r="R17" i="5"/>
  <c r="Q17" i="5"/>
  <c r="P17" i="5"/>
  <c r="O17" i="5"/>
  <c r="N17" i="5"/>
  <c r="M17" i="5"/>
  <c r="L17" i="5"/>
  <c r="S16" i="5"/>
  <c r="R16" i="5"/>
  <c r="Q16" i="5"/>
  <c r="P16" i="5"/>
  <c r="O16" i="5"/>
  <c r="N16" i="5"/>
  <c r="M16" i="5"/>
  <c r="L16" i="5"/>
  <c r="S15" i="5"/>
  <c r="R15" i="5"/>
  <c r="Q15" i="5"/>
  <c r="P15" i="5"/>
  <c r="O15" i="5"/>
  <c r="N15" i="5"/>
  <c r="M15" i="5"/>
  <c r="L15" i="5"/>
  <c r="S14" i="5"/>
  <c r="R14" i="5"/>
  <c r="Q14" i="5"/>
  <c r="P14" i="5"/>
  <c r="O14" i="5"/>
  <c r="N14" i="5"/>
  <c r="M14" i="5"/>
  <c r="L14" i="5"/>
  <c r="S13" i="5"/>
  <c r="R13" i="5"/>
  <c r="Q13" i="5"/>
  <c r="P13" i="5"/>
  <c r="O13" i="5"/>
  <c r="N13" i="5"/>
  <c r="M13" i="5"/>
  <c r="L13" i="5"/>
  <c r="S12" i="5"/>
  <c r="R12" i="5"/>
  <c r="Q12" i="5"/>
  <c r="P12" i="5"/>
  <c r="O12" i="5"/>
  <c r="N12" i="5"/>
  <c r="M12" i="5"/>
  <c r="L12" i="5"/>
  <c r="S11" i="5"/>
  <c r="R11" i="5"/>
  <c r="Q11" i="5"/>
  <c r="P11" i="5"/>
  <c r="O11" i="5"/>
  <c r="N11" i="5"/>
  <c r="M11" i="5"/>
  <c r="L11" i="5"/>
  <c r="S10" i="5"/>
  <c r="R10" i="5"/>
  <c r="Q10" i="5"/>
  <c r="P10" i="5"/>
  <c r="O10" i="5"/>
  <c r="N10" i="5"/>
  <c r="M10" i="5"/>
  <c r="L10" i="5"/>
  <c r="S9" i="5"/>
  <c r="R9" i="5"/>
  <c r="Q9" i="5"/>
  <c r="P9" i="5"/>
  <c r="O9" i="5"/>
  <c r="N9" i="5"/>
  <c r="M9" i="5"/>
  <c r="L9" i="5"/>
  <c r="S8" i="5"/>
  <c r="R8" i="5"/>
  <c r="Q8" i="5"/>
  <c r="P8" i="5"/>
  <c r="O8" i="5"/>
  <c r="N8" i="5"/>
  <c r="M8" i="5"/>
  <c r="L8" i="5"/>
  <c r="S7" i="5"/>
  <c r="R7" i="5"/>
  <c r="Q7" i="5"/>
  <c r="Q90" i="5" s="1"/>
  <c r="P7" i="5"/>
  <c r="P90" i="5" s="1"/>
  <c r="O7" i="5"/>
  <c r="N7" i="5"/>
  <c r="N90" i="5" s="1"/>
  <c r="M7" i="5"/>
  <c r="M90" i="5" s="1"/>
  <c r="L7" i="5"/>
  <c r="S6" i="5"/>
  <c r="R6" i="5"/>
  <c r="Q6" i="5"/>
  <c r="P6" i="5"/>
  <c r="O6" i="5"/>
  <c r="N6" i="5"/>
  <c r="M6" i="5"/>
  <c r="L6" i="5"/>
  <c r="S5" i="5"/>
  <c r="R5" i="5"/>
  <c r="Q5" i="5"/>
  <c r="P5" i="5"/>
  <c r="O5" i="5"/>
  <c r="N5" i="5"/>
  <c r="M5" i="5"/>
  <c r="L5" i="5"/>
  <c r="S4" i="5"/>
  <c r="R4" i="5"/>
  <c r="Q4" i="5"/>
  <c r="P4" i="5"/>
  <c r="O4" i="5"/>
  <c r="N4" i="5"/>
  <c r="M4" i="5"/>
  <c r="L4" i="5"/>
  <c r="S3" i="5"/>
  <c r="R3" i="5"/>
  <c r="Q3" i="5"/>
  <c r="P3" i="5"/>
  <c r="O3" i="5"/>
  <c r="N3" i="5"/>
  <c r="M3" i="5"/>
  <c r="L3" i="5"/>
  <c r="S2" i="5"/>
  <c r="R2" i="5"/>
  <c r="Q2" i="5"/>
  <c r="P2" i="5"/>
  <c r="O2" i="5"/>
  <c r="N2" i="5"/>
  <c r="M2" i="5"/>
  <c r="L2" i="5"/>
  <c r="Q83" i="10" l="1"/>
  <c r="M83" i="10"/>
  <c r="U83" i="7"/>
  <c r="S90" i="5"/>
  <c r="L90" i="5"/>
  <c r="R90" i="5"/>
  <c r="O90" i="5"/>
  <c r="T83" i="10" l="1"/>
  <c r="U83" i="10" s="1"/>
</calcChain>
</file>

<file path=xl/sharedStrings.xml><?xml version="1.0" encoding="utf-8"?>
<sst xmlns="http://schemas.openxmlformats.org/spreadsheetml/2006/main" count="673" uniqueCount="196">
  <si>
    <t>Alimento</t>
  </si>
  <si>
    <t>Proteína</t>
  </si>
  <si>
    <t>Hidrato</t>
  </si>
  <si>
    <t>(açúcar)</t>
  </si>
  <si>
    <t>Lípidos</t>
  </si>
  <si>
    <t>(satur.)</t>
  </si>
  <si>
    <t>Fibras</t>
  </si>
  <si>
    <t>Sal</t>
  </si>
  <si>
    <t>Calorias</t>
  </si>
  <si>
    <t>Coeficiente</t>
  </si>
  <si>
    <t>ÁGUA 1L</t>
  </si>
  <si>
    <t>Azeite 1 colher sopa 15g</t>
  </si>
  <si>
    <t>Limão médio espremid 100g</t>
  </si>
  <si>
    <t>Sopa mãe 100ml</t>
  </si>
  <si>
    <t>Tomate Cherry 6 unidades (83,33g)</t>
  </si>
  <si>
    <t>Espinafre 10g</t>
  </si>
  <si>
    <t>Iogurte natural sem lactose Mimosa 120g</t>
  </si>
  <si>
    <t>Mirtilos 100g</t>
  </si>
  <si>
    <t>Chia Cemporcento 10g (uma colher de sopa muito cheia)</t>
  </si>
  <si>
    <t>Aveia proteica 1 colher 10g (deve ser 5 colheres)</t>
  </si>
  <si>
    <t>Kiwi médio (75g)</t>
  </si>
  <si>
    <t>Ovo médio 54g sem casca</t>
  </si>
  <si>
    <t>ÁGUA 0.5L</t>
  </si>
  <si>
    <t>Linhaça 2 colhs de sopa meio-cheias (10g) Continente</t>
  </si>
  <si>
    <t>Banana média</t>
  </si>
  <si>
    <t>queijo limiano magro 1un 20g</t>
  </si>
  <si>
    <t>Sopa legumes Conti 100ml</t>
  </si>
  <si>
    <t>Abacate 1/2 75g</t>
  </si>
  <si>
    <t>Alface (1/4 pacote) 37.5g</t>
  </si>
  <si>
    <t>Couve roxa 100g</t>
  </si>
  <si>
    <t>Beterraba 100g</t>
  </si>
  <si>
    <t>Batata média 150g coz ou assad (fibra aumenta com pele)</t>
  </si>
  <si>
    <t>Arroz branco 100g (3 colheres de sopa cheia)</t>
  </si>
  <si>
    <t>Arroz integral 100g  (3 colheres de sopa cheia)</t>
  </si>
  <si>
    <t xml:space="preserve">Garden Gourmet Almondegas  100g (metade) </t>
  </si>
  <si>
    <t>Garden Gourmet Veggie Balls 100g (7unids)</t>
  </si>
  <si>
    <t>Salmão cozido 100g</t>
  </si>
  <si>
    <t>Dourada 100g</t>
  </si>
  <si>
    <t>Frango - 100g (coxa, sobrecox)</t>
  </si>
  <si>
    <t>Bife de peru (100g) - Um bife normal tem 120g</t>
  </si>
  <si>
    <t>Arroz branco 100g (5 colheres de sopa)</t>
  </si>
  <si>
    <t>Marinheira Sem Sal (1 unid)</t>
  </si>
  <si>
    <t>Marinheira Chia (1 unid)</t>
  </si>
  <si>
    <t>queijo fresco magro 80g</t>
  </si>
  <si>
    <t>Queijo Matinal magro 72g</t>
  </si>
  <si>
    <t>Nozes 7 metades grand (26g)</t>
  </si>
  <si>
    <t>Nozes e mixed frutos (30g) -0.6 são 16g</t>
  </si>
  <si>
    <t>Sementes de abóbora 10g (2 colheres meio cheias) PORSI</t>
  </si>
  <si>
    <t>Sementes de cânhamo 10g SALUTEM (2 cols meio cheias)</t>
  </si>
  <si>
    <t>Sementes de girassol 10g (2 colhers de sopa meio-cheias)</t>
  </si>
  <si>
    <t>Pão Shape 1 fatia 30g (Pingo Doce)</t>
  </si>
  <si>
    <t>Maçã média</t>
  </si>
  <si>
    <t>Pera rocha (1peça média)</t>
  </si>
  <si>
    <t>Laranja média-grande (210g)</t>
  </si>
  <si>
    <t>Framboesas 100g</t>
  </si>
  <si>
    <t>Sobremesa Continente</t>
  </si>
  <si>
    <t>Mousse prot continente 150g</t>
  </si>
  <si>
    <t>Trigo Puff (10mg) ou seja 12 colheres</t>
  </si>
  <si>
    <t>Solero</t>
  </si>
  <si>
    <t>Batatas fritas LAYS 100g</t>
  </si>
  <si>
    <t>Pistáchio 10g (14 unid descasc)</t>
  </si>
  <si>
    <t>Caju 10g 7 unis</t>
  </si>
  <si>
    <t>Sementes de abóbora 10g (3 colheres quase cheias) PORSI</t>
  </si>
  <si>
    <t>Sementes de cânhamo 10g SALUTEM (3 colheres quase cheias)</t>
  </si>
  <si>
    <t>Sementes de girassol 10g (uma colher de sopa cheia)</t>
  </si>
  <si>
    <t>Amendoim torrado 10g PINGO DOCE</t>
  </si>
  <si>
    <t>Dióspiro 100g (um de tamanho normal tem 200g)</t>
  </si>
  <si>
    <t>Gelatina Proteica Go Active</t>
  </si>
  <si>
    <t>Prozis Chicken Tikka Massala 280g</t>
  </si>
  <si>
    <t>Prozis Stir-Fry with vegetables 280g</t>
  </si>
  <si>
    <t>TOTAL</t>
  </si>
  <si>
    <t>Açúcar máximo deveria ser</t>
  </si>
  <si>
    <r>
      <t>(</t>
    </r>
    <r>
      <rPr>
        <sz val="11"/>
        <color rgb="FFFF0000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e</t>
    </r>
    <r>
      <rPr>
        <sz val="11"/>
        <color rgb="FFFFCC00"/>
        <rFont val="Calibri"/>
        <family val="2"/>
        <scheme val="minor"/>
      </rPr>
      <t xml:space="preserve"> 5%</t>
    </r>
    <r>
      <rPr>
        <sz val="11"/>
        <color theme="1"/>
        <rFont val="Calibri"/>
        <family val="2"/>
        <scheme val="minor"/>
      </rPr>
      <t>)</t>
    </r>
  </si>
  <si>
    <t>Valores recomendados</t>
  </si>
  <si>
    <t>Sem exo</t>
  </si>
  <si>
    <t xml:space="preserve">71g </t>
  </si>
  <si>
    <t>258g</t>
  </si>
  <si>
    <t>47/23.5</t>
  </si>
  <si>
    <t xml:space="preserve">52g </t>
  </si>
  <si>
    <t>20.4g</t>
  </si>
  <si>
    <t xml:space="preserve">30g </t>
  </si>
  <si>
    <t>5g</t>
  </si>
  <si>
    <t xml:space="preserve">1880cal </t>
  </si>
  <si>
    <t>30 min</t>
  </si>
  <si>
    <t xml:space="preserve">119g </t>
  </si>
  <si>
    <t>333g</t>
  </si>
  <si>
    <t>60.6/30.3</t>
  </si>
  <si>
    <t>67g</t>
  </si>
  <si>
    <t>26.3g</t>
  </si>
  <si>
    <t>30-35g</t>
  </si>
  <si>
    <t>2424 cal</t>
  </si>
  <si>
    <t>1 hora</t>
  </si>
  <si>
    <t xml:space="preserve">133g </t>
  </si>
  <si>
    <t>376g</t>
  </si>
  <si>
    <t>68.4/34.2</t>
  </si>
  <si>
    <t>76g</t>
  </si>
  <si>
    <t>29.7g</t>
  </si>
  <si>
    <t>2736 cal</t>
  </si>
  <si>
    <t>Açúcar: deve ser no máximo 10% mas idealmente 5%</t>
  </si>
  <si>
    <t>Análise feita para homem de 42 anos e 1m71 e 70kgs.</t>
  </si>
  <si>
    <t>ALIMENTO</t>
  </si>
  <si>
    <t>Hidratos</t>
  </si>
  <si>
    <t>NOTAS</t>
  </si>
  <si>
    <t xml:space="preserve">Almondegas Garden Gourmet 100g (metade) </t>
  </si>
  <si>
    <t>Amendoim torrado 10g Pingo Doce</t>
  </si>
  <si>
    <t>Azeitonas 25 (100g)</t>
  </si>
  <si>
    <t>Arroz puff biológico (15g) 1/10 do pacote</t>
  </si>
  <si>
    <t>Arroz de pato Pingo Doce 100g</t>
  </si>
  <si>
    <t>Atum Dom Petisco (84g)</t>
  </si>
  <si>
    <t>Atum General (77g)</t>
  </si>
  <si>
    <t>Aveia proteica 1 colher muito cheia 10g (deve ser 5 colheres)</t>
  </si>
  <si>
    <t>Aveia flocos finos (1 colh 7g) referência 7 colh 50g</t>
  </si>
  <si>
    <t>B-ready Nutella 1 barra 22g</t>
  </si>
  <si>
    <t>Bacalhau com natas Continente (300g)</t>
  </si>
  <si>
    <t>Batata-doce média (150g)</t>
  </si>
  <si>
    <t>Batatas fritas (50g - 10 unid)</t>
  </si>
  <si>
    <t>Bolacha de wafer Porsi 100g</t>
  </si>
  <si>
    <t>Bola de gelado (100g)</t>
  </si>
  <si>
    <t>Big Mac</t>
  </si>
  <si>
    <t>Chocolate preto Nestlé 100g</t>
  </si>
  <si>
    <t>Cone bolacha para gelado</t>
  </si>
  <si>
    <t>Bola com creme pingo doce 100g</t>
  </si>
  <si>
    <t>Bróculo médio (100g)</t>
  </si>
  <si>
    <t>Caju Continente sal condim 100g</t>
  </si>
  <si>
    <t>Camarão-tigre 100g (8 peças)</t>
  </si>
  <si>
    <t>Caril de frango Continente 300g</t>
  </si>
  <si>
    <t>Cenoura 100g</t>
  </si>
  <si>
    <t>Cereais Lion 30g</t>
  </si>
  <si>
    <t>Cheesecake caramelo 100g</t>
  </si>
  <si>
    <t>Delícia folhada</t>
  </si>
  <si>
    <t>Donuts glacé 100g (para 2)</t>
  </si>
  <si>
    <t>Donuts Pingo Doce rech, 1unid 75g</t>
  </si>
  <si>
    <t>Donuts recheado 100g (costuma ter 150)</t>
  </si>
  <si>
    <t>Ervilhas 100g</t>
  </si>
  <si>
    <t>Esparguete à Bolonhesa Continente 350g</t>
  </si>
  <si>
    <t>Feijão verde</t>
  </si>
  <si>
    <t>Feijão preto 100g (6 colheres de sopa)</t>
  </si>
  <si>
    <t>Francesinha</t>
  </si>
  <si>
    <t>Frango -135 g (peito, coxa, sobrecoxa)</t>
  </si>
  <si>
    <t>Gelatina Continent 0% 100g</t>
  </si>
  <si>
    <t>Gelatina Royal 0% (90g)</t>
  </si>
  <si>
    <t>Gomas High protein Lidl 100g (pacote - como 0.33)</t>
  </si>
  <si>
    <t>Gunkan braseado 1 peça</t>
  </si>
  <si>
    <t>Hamburguer frango Cont 70g</t>
  </si>
  <si>
    <t>Hamburguer simples Mac</t>
  </si>
  <si>
    <t>Iogurte Lindahls Stracciat 160g</t>
  </si>
  <si>
    <t>Ketchup Continente -50% 15g</t>
  </si>
  <si>
    <t>Kinder Bueno (2 barras)</t>
  </si>
  <si>
    <t>Leite magro Vigor (100ml)</t>
  </si>
  <si>
    <t>Marinheira Clássica (1 unid)</t>
  </si>
  <si>
    <t>Marinheira Aveia (1 unid)</t>
  </si>
  <si>
    <t>Melão 100g</t>
  </si>
  <si>
    <t>Nestum Pro Morango (7 colheres, 35g)</t>
  </si>
  <si>
    <t>Niguiri 1 peça</t>
  </si>
  <si>
    <t>M&amp;M's crispy 100g</t>
  </si>
  <si>
    <t>Noz 1 metade grande (4g)</t>
  </si>
  <si>
    <t>Nozes pecan 8 metades 26g</t>
  </si>
  <si>
    <t>Nozes e mixed frutos (30g)</t>
  </si>
  <si>
    <t>Paella à Valenciana Cont 250g</t>
  </si>
  <si>
    <t>Palmier recheado (100g)</t>
  </si>
  <si>
    <t>Pão Hot Dog Continente 55g</t>
  </si>
  <si>
    <t>Pão de alho 100g</t>
  </si>
  <si>
    <t>Pão Oroweat Sésamo-cereais - 1</t>
  </si>
  <si>
    <t>Pão Oroweat Sésamo-linh - 1</t>
  </si>
  <si>
    <t>Pipocas Ti-Ti 100g</t>
  </si>
  <si>
    <t>Pudim Continente (baun)</t>
  </si>
  <si>
    <t>Robalo 100g</t>
  </si>
  <si>
    <t>Requeijão ovelha Pastor Serrano 100g</t>
  </si>
  <si>
    <t>Salmão fumado Ocean Sea LIDL 100g</t>
  </si>
  <si>
    <t>Salsinha Frango Nobre (cada uma 52,5)</t>
  </si>
  <si>
    <t>Sardinha (Bom Petisco 78g)</t>
  </si>
  <si>
    <t>Sardinha (Continent Tomate 85g)</t>
  </si>
  <si>
    <t>Sopa legumes Pingo Doce 100ml</t>
  </si>
  <si>
    <t>Temaki 150g</t>
  </si>
  <si>
    <t>Tomate 100g</t>
  </si>
  <si>
    <t>Tortitas Salutem (1unid)</t>
  </si>
  <si>
    <t>Tortitas Arroz chocolate negro 100g 100porcento</t>
  </si>
  <si>
    <t>Tortitas arroz Pingo Doce s/sal (1 unid)</t>
  </si>
  <si>
    <t>Turrão de Amendoa Almendro 100g</t>
  </si>
  <si>
    <t>Uvas 100g (um cacho de uvas médio pesa 400g)</t>
  </si>
  <si>
    <t>Wetabix - 1 porção</t>
  </si>
  <si>
    <t>A batido proteico com 2g creatina PROZIS</t>
  </si>
  <si>
    <t>A batido proteico+ ACRESCENTAR creatina HSN</t>
  </si>
  <si>
    <t>Iogurte YoPro Stracciatella 100g</t>
  </si>
  <si>
    <t>Dióspiro 100g (um de tamanho normal tem 220g)</t>
  </si>
  <si>
    <t>PROTEÍNA</t>
  </si>
  <si>
    <t>Whey</t>
  </si>
  <si>
    <t>GORDURAS</t>
  </si>
  <si>
    <t>Amendoas</t>
  </si>
  <si>
    <t>Caju</t>
  </si>
  <si>
    <t>VEGETAIS</t>
  </si>
  <si>
    <t>SEMENTES</t>
  </si>
  <si>
    <t>HIDRATOS CARBONO</t>
  </si>
  <si>
    <t>FRUTA</t>
  </si>
  <si>
    <t>SOBREMESA</t>
  </si>
  <si>
    <t>Bolinhos canela Mia 7 unid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</si>
</sst>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1"/>
      <color rgb="FFFFCC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D4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2" fillId="6" borderId="1" xfId="0" applyFont="1" applyFill="1" applyBorder="1" applyAlignment="1">
      <alignment horizontal="left" vertical="top" wrapText="1"/>
    </xf>
    <xf numFmtId="0" fontId="0" fillId="6" borderId="1" xfId="0" applyFill="1" applyBorder="1"/>
    <xf numFmtId="0" fontId="0" fillId="6" borderId="0" xfId="0" applyFill="1"/>
    <xf numFmtId="0" fontId="2" fillId="7" borderId="1" xfId="0" applyFont="1" applyFill="1" applyBorder="1" applyAlignment="1">
      <alignment horizontal="left" vertical="top" wrapText="1"/>
    </xf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3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/>
    <xf numFmtId="0" fontId="4" fillId="9" borderId="1" xfId="0" applyFont="1" applyFill="1" applyBorder="1"/>
    <xf numFmtId="0" fontId="0" fillId="11" borderId="0" xfId="0" applyFill="1"/>
    <xf numFmtId="0" fontId="0" fillId="12" borderId="4" xfId="0" applyFill="1" applyBorder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0" fillId="2" borderId="5" xfId="0" applyFill="1" applyBorder="1" applyAlignment="1">
      <alignment horizontal="center" vertical="center"/>
    </xf>
    <xf numFmtId="0" fontId="0" fillId="3" borderId="4" xfId="0" applyFill="1" applyBorder="1"/>
    <xf numFmtId="0" fontId="6" fillId="7" borderId="1" xfId="0" applyFont="1" applyFill="1" applyBorder="1" applyAlignment="1">
      <alignment horizontal="left" vertical="top" wrapText="1"/>
    </xf>
    <xf numFmtId="0" fontId="1" fillId="8" borderId="1" xfId="0" applyFont="1" applyFill="1" applyBorder="1"/>
    <xf numFmtId="2" fontId="0" fillId="8" borderId="1" xfId="0" applyNumberFormat="1" applyFill="1" applyBorder="1"/>
    <xf numFmtId="2" fontId="0" fillId="9" borderId="1" xfId="0" applyNumberFormat="1" applyFill="1" applyBorder="1"/>
    <xf numFmtId="0" fontId="0" fillId="10" borderId="0" xfId="0" applyFill="1"/>
    <xf numFmtId="164" fontId="0" fillId="8" borderId="1" xfId="0" applyNumberFormat="1" applyFill="1" applyBorder="1"/>
    <xf numFmtId="0" fontId="7" fillId="7" borderId="1" xfId="0" applyFont="1" applyFill="1" applyBorder="1" applyAlignment="1">
      <alignment horizontal="left" vertical="top" wrapText="1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33293-8197-492E-9394-8FB2DC5D3CB0}">
  <dimension ref="A1:J222"/>
  <sheetViews>
    <sheetView workbookViewId="0">
      <pane ySplit="1" topLeftCell="A5" activePane="bottomLeft" state="frozen"/>
      <selection pane="bottomLeft" activeCell="A18" sqref="A18:I18"/>
    </sheetView>
  </sheetViews>
  <sheetFormatPr defaultRowHeight="14.4" x14ac:dyDescent="0.3"/>
  <cols>
    <col min="1" max="1" width="21.5546875" customWidth="1"/>
    <col min="3" max="3" width="8.21875" customWidth="1"/>
    <col min="4" max="4" width="7.77734375" customWidth="1"/>
    <col min="5" max="5" width="7.44140625" customWidth="1"/>
    <col min="6" max="6" width="6.5546875" customWidth="1"/>
    <col min="7" max="8" width="6.21875" customWidth="1"/>
  </cols>
  <sheetData>
    <row r="1" spans="1:10" ht="24" customHeight="1" x14ac:dyDescent="0.3">
      <c r="A1" s="22" t="s">
        <v>100</v>
      </c>
      <c r="B1" s="2" t="s">
        <v>1</v>
      </c>
      <c r="C1" s="2" t="s">
        <v>101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3" t="s">
        <v>102</v>
      </c>
    </row>
    <row r="2" spans="1:10" ht="24" x14ac:dyDescent="0.3">
      <c r="A2" s="7" t="s">
        <v>182</v>
      </c>
      <c r="B2" s="8">
        <v>20</v>
      </c>
      <c r="C2" s="8">
        <v>2.5</v>
      </c>
      <c r="D2" s="8">
        <v>1.6</v>
      </c>
      <c r="E2" s="8">
        <v>1.4</v>
      </c>
      <c r="F2" s="8">
        <v>1</v>
      </c>
      <c r="G2" s="8">
        <v>0</v>
      </c>
      <c r="H2" s="8">
        <v>0.31</v>
      </c>
      <c r="I2" s="9">
        <v>105</v>
      </c>
    </row>
    <row r="3" spans="1:10" ht="24" x14ac:dyDescent="0.3">
      <c r="A3" s="7" t="s">
        <v>181</v>
      </c>
      <c r="B3" s="8">
        <v>25</v>
      </c>
      <c r="C3" s="8">
        <v>2.2000000000000002</v>
      </c>
      <c r="D3" s="8">
        <v>1.2</v>
      </c>
      <c r="E3" s="8">
        <v>1</v>
      </c>
      <c r="F3" s="8">
        <v>0.3</v>
      </c>
      <c r="G3" s="8">
        <v>0</v>
      </c>
      <c r="H3" s="8">
        <v>0.37</v>
      </c>
      <c r="I3" s="9">
        <v>115</v>
      </c>
    </row>
    <row r="4" spans="1:10" x14ac:dyDescent="0.3">
      <c r="A4" s="7" t="s">
        <v>27</v>
      </c>
      <c r="B4" s="8">
        <v>1.5</v>
      </c>
      <c r="C4" s="8">
        <v>6.5</v>
      </c>
      <c r="D4" s="8">
        <v>0</v>
      </c>
      <c r="E4" s="8">
        <v>11.3</v>
      </c>
      <c r="F4" s="8">
        <v>1.6</v>
      </c>
      <c r="G4" s="8">
        <v>5</v>
      </c>
      <c r="H4" s="8">
        <v>1E-3</v>
      </c>
      <c r="I4" s="9">
        <v>120</v>
      </c>
    </row>
    <row r="5" spans="1:10" ht="24" x14ac:dyDescent="0.3">
      <c r="A5" s="7" t="s">
        <v>103</v>
      </c>
      <c r="B5" s="8">
        <v>19.600000000000001</v>
      </c>
      <c r="C5" s="8">
        <v>5.8</v>
      </c>
      <c r="D5" s="8">
        <v>2.2999999999999998</v>
      </c>
      <c r="E5" s="8">
        <v>7.5</v>
      </c>
      <c r="F5" s="8">
        <v>0.7</v>
      </c>
      <c r="G5" s="8">
        <v>5.9</v>
      </c>
      <c r="H5" s="8">
        <v>1.3</v>
      </c>
      <c r="I5" s="9">
        <v>181</v>
      </c>
    </row>
    <row r="6" spans="1:10" ht="24" x14ac:dyDescent="0.3">
      <c r="A6" s="7" t="s">
        <v>104</v>
      </c>
      <c r="B6" s="8">
        <v>3</v>
      </c>
      <c r="C6" s="8">
        <v>1.2</v>
      </c>
      <c r="D6" s="8">
        <v>0</v>
      </c>
      <c r="E6" s="8">
        <v>5.3</v>
      </c>
      <c r="F6" s="8">
        <v>0.88</v>
      </c>
      <c r="G6" s="8">
        <v>0.68</v>
      </c>
      <c r="H6" s="8">
        <v>1E-3</v>
      </c>
      <c r="I6" s="9">
        <v>65.8</v>
      </c>
    </row>
    <row r="7" spans="1:10" x14ac:dyDescent="0.3">
      <c r="A7" s="7" t="s">
        <v>11</v>
      </c>
      <c r="B7" s="8">
        <v>0</v>
      </c>
      <c r="C7" s="8">
        <v>0</v>
      </c>
      <c r="D7" s="8">
        <v>0</v>
      </c>
      <c r="E7" s="8">
        <v>15</v>
      </c>
      <c r="F7" s="8">
        <v>2</v>
      </c>
      <c r="G7" s="8">
        <v>0</v>
      </c>
      <c r="H7" s="8">
        <v>0</v>
      </c>
      <c r="I7" s="9">
        <v>125</v>
      </c>
    </row>
    <row r="8" spans="1:10" x14ac:dyDescent="0.3">
      <c r="A8" s="7" t="s">
        <v>105</v>
      </c>
      <c r="B8" s="8">
        <v>0.5</v>
      </c>
      <c r="C8" s="8">
        <v>0.1</v>
      </c>
      <c r="D8" s="8">
        <v>0</v>
      </c>
      <c r="E8" s="8">
        <v>13</v>
      </c>
      <c r="F8" s="8">
        <v>2.2000000000000002</v>
      </c>
      <c r="G8" s="8">
        <v>3</v>
      </c>
      <c r="H8" s="8">
        <v>2.5</v>
      </c>
      <c r="I8" s="9">
        <v>129</v>
      </c>
    </row>
    <row r="9" spans="1:10" x14ac:dyDescent="0.3">
      <c r="A9" s="7" t="s">
        <v>28</v>
      </c>
      <c r="B9" s="8">
        <v>0.67</v>
      </c>
      <c r="C9" s="8">
        <v>0.34</v>
      </c>
      <c r="D9" s="8">
        <v>0</v>
      </c>
      <c r="E9" s="8">
        <v>0.18</v>
      </c>
      <c r="F9" s="8">
        <v>0</v>
      </c>
      <c r="G9" s="8">
        <v>0.52</v>
      </c>
      <c r="H9" s="8">
        <v>0.01</v>
      </c>
      <c r="I9" s="9">
        <v>5.6</v>
      </c>
    </row>
    <row r="10" spans="1:10" ht="24" x14ac:dyDescent="0.3">
      <c r="A10" s="7" t="s">
        <v>32</v>
      </c>
      <c r="B10" s="8">
        <v>2.5</v>
      </c>
      <c r="C10" s="8">
        <v>29</v>
      </c>
      <c r="D10" s="8">
        <v>0</v>
      </c>
      <c r="E10" s="8">
        <v>0.2</v>
      </c>
      <c r="F10" s="8">
        <v>0.1</v>
      </c>
      <c r="G10" s="8">
        <v>0.4</v>
      </c>
      <c r="H10" s="8">
        <v>0.3</v>
      </c>
      <c r="I10" s="9">
        <v>130</v>
      </c>
    </row>
    <row r="11" spans="1:10" ht="24" x14ac:dyDescent="0.3">
      <c r="A11" s="7" t="s">
        <v>33</v>
      </c>
      <c r="B11" s="8">
        <v>2.93</v>
      </c>
      <c r="C11" s="8">
        <v>25.7</v>
      </c>
      <c r="D11" s="8">
        <v>0</v>
      </c>
      <c r="E11" s="8">
        <v>0.93</v>
      </c>
      <c r="F11" s="8">
        <v>0.3</v>
      </c>
      <c r="G11" s="8">
        <v>1.03</v>
      </c>
      <c r="H11" s="8">
        <v>0.03</v>
      </c>
      <c r="I11" s="9">
        <v>125</v>
      </c>
    </row>
    <row r="12" spans="1:10" ht="24" x14ac:dyDescent="0.3">
      <c r="A12" s="7" t="s">
        <v>106</v>
      </c>
      <c r="B12" s="8">
        <v>1.35</v>
      </c>
      <c r="C12" s="8">
        <v>11.7</v>
      </c>
      <c r="D12" s="8">
        <v>7.4999999999999997E-2</v>
      </c>
      <c r="E12" s="8">
        <v>0.375</v>
      </c>
      <c r="F12" s="8">
        <v>7.4999999999999997E-2</v>
      </c>
      <c r="G12" s="8">
        <v>0.375</v>
      </c>
      <c r="H12" s="8">
        <v>2E-3</v>
      </c>
      <c r="I12" s="9">
        <v>56.4</v>
      </c>
    </row>
    <row r="13" spans="1:10" ht="24" x14ac:dyDescent="0.3">
      <c r="A13" s="7" t="s">
        <v>107</v>
      </c>
      <c r="B13" s="8">
        <v>8.8000000000000007</v>
      </c>
      <c r="C13" s="8">
        <v>24.7</v>
      </c>
      <c r="D13" s="8">
        <v>0.3</v>
      </c>
      <c r="E13" s="8">
        <v>4</v>
      </c>
      <c r="F13" s="8">
        <v>0.8</v>
      </c>
      <c r="G13" s="8">
        <v>0</v>
      </c>
      <c r="H13" s="8">
        <v>1</v>
      </c>
      <c r="I13" s="9">
        <v>170</v>
      </c>
    </row>
    <row r="14" spans="1:10" x14ac:dyDescent="0.3">
      <c r="A14" s="24" t="s">
        <v>108</v>
      </c>
      <c r="B14" s="25">
        <v>22</v>
      </c>
      <c r="C14" s="8">
        <v>0</v>
      </c>
      <c r="D14" s="8">
        <v>0</v>
      </c>
      <c r="E14" s="25">
        <v>0.1</v>
      </c>
      <c r="F14" s="8">
        <v>0.1</v>
      </c>
      <c r="G14" s="8">
        <v>0</v>
      </c>
      <c r="H14" s="8">
        <v>1.18</v>
      </c>
      <c r="I14" s="9">
        <v>91</v>
      </c>
    </row>
    <row r="15" spans="1:10" x14ac:dyDescent="0.3">
      <c r="A15" s="7" t="s">
        <v>109</v>
      </c>
      <c r="B15" s="8">
        <v>17.71</v>
      </c>
      <c r="C15" s="8">
        <v>0</v>
      </c>
      <c r="D15" s="8">
        <v>0</v>
      </c>
      <c r="E15" s="8">
        <v>0.85</v>
      </c>
      <c r="F15" s="8">
        <v>0.23</v>
      </c>
      <c r="G15" s="8">
        <v>0</v>
      </c>
      <c r="H15" s="8">
        <v>0.51</v>
      </c>
      <c r="I15" s="9">
        <v>79.3</v>
      </c>
    </row>
    <row r="16" spans="1:10" ht="36" x14ac:dyDescent="0.3">
      <c r="A16" s="7" t="s">
        <v>110</v>
      </c>
      <c r="B16" s="8">
        <v>2.0699999999999998</v>
      </c>
      <c r="C16" s="8">
        <v>4.74</v>
      </c>
      <c r="D16" s="8">
        <v>0.08</v>
      </c>
      <c r="E16" s="8">
        <v>0.96</v>
      </c>
      <c r="F16" s="8">
        <v>0.15</v>
      </c>
      <c r="G16" s="8">
        <v>0.96</v>
      </c>
      <c r="H16" s="8">
        <v>0.05</v>
      </c>
      <c r="I16" s="9">
        <v>37.799999999999997</v>
      </c>
    </row>
    <row r="17" spans="1:9" ht="24" x14ac:dyDescent="0.3">
      <c r="A17" s="24" t="s">
        <v>111</v>
      </c>
      <c r="B17" s="26">
        <v>0.85</v>
      </c>
      <c r="C17" s="26">
        <v>4.24</v>
      </c>
      <c r="D17" s="26">
        <v>0.08</v>
      </c>
      <c r="E17" s="26">
        <v>0.43</v>
      </c>
      <c r="F17" s="26">
        <v>7.0000000000000007E-2</v>
      </c>
      <c r="G17" s="26">
        <v>0.67</v>
      </c>
      <c r="H17" s="26">
        <v>0</v>
      </c>
      <c r="I17" s="27">
        <v>25.77</v>
      </c>
    </row>
    <row r="18" spans="1:9" x14ac:dyDescent="0.3">
      <c r="A18" s="7" t="s">
        <v>195</v>
      </c>
      <c r="B18" s="8">
        <v>9.1999999999999993</v>
      </c>
      <c r="C18" s="8">
        <v>88.2</v>
      </c>
      <c r="D18" s="8">
        <v>20.5</v>
      </c>
      <c r="E18" s="8">
        <v>25.5</v>
      </c>
      <c r="F18" s="8">
        <v>15.8</v>
      </c>
      <c r="G18" s="8">
        <v>5.2</v>
      </c>
      <c r="H18" s="8">
        <v>0.05</v>
      </c>
      <c r="I18" s="9">
        <v>625</v>
      </c>
    </row>
    <row r="19" spans="1:9" x14ac:dyDescent="0.3">
      <c r="A19" s="11" t="s">
        <v>112</v>
      </c>
      <c r="B19" s="26">
        <v>1.6</v>
      </c>
      <c r="C19" s="26">
        <v>13.4</v>
      </c>
      <c r="D19" s="26">
        <v>10.4</v>
      </c>
      <c r="E19" s="26">
        <v>5.9</v>
      </c>
      <c r="F19" s="26">
        <v>2.1</v>
      </c>
      <c r="G19" s="26">
        <v>0</v>
      </c>
      <c r="H19" s="26">
        <v>0.123</v>
      </c>
      <c r="I19" s="27">
        <v>115</v>
      </c>
    </row>
    <row r="20" spans="1:9" ht="24" x14ac:dyDescent="0.3">
      <c r="A20" s="7" t="s">
        <v>113</v>
      </c>
      <c r="B20" s="8">
        <v>26</v>
      </c>
      <c r="C20" s="8">
        <v>33.9</v>
      </c>
      <c r="D20" s="8">
        <v>7.8</v>
      </c>
      <c r="E20" s="8">
        <v>35</v>
      </c>
      <c r="F20" s="8">
        <v>15</v>
      </c>
      <c r="G20" s="8">
        <v>3</v>
      </c>
      <c r="H20" s="8">
        <v>2</v>
      </c>
      <c r="I20" s="9">
        <v>566</v>
      </c>
    </row>
    <row r="21" spans="1:9" x14ac:dyDescent="0.3">
      <c r="A21" s="7" t="s">
        <v>24</v>
      </c>
      <c r="B21" s="8">
        <v>1.1000000000000001</v>
      </c>
      <c r="C21" s="8">
        <v>23</v>
      </c>
      <c r="D21" s="8">
        <v>0</v>
      </c>
      <c r="E21" s="8">
        <v>0.3</v>
      </c>
      <c r="F21" s="8">
        <v>0.1</v>
      </c>
      <c r="G21" s="8">
        <v>2.6</v>
      </c>
      <c r="H21" s="8">
        <v>1E-3</v>
      </c>
      <c r="I21" s="9">
        <v>89</v>
      </c>
    </row>
    <row r="22" spans="1:9" x14ac:dyDescent="0.3">
      <c r="A22" s="7" t="s">
        <v>114</v>
      </c>
      <c r="B22" s="8">
        <v>1.4</v>
      </c>
      <c r="C22" s="8">
        <v>18</v>
      </c>
      <c r="D22" s="8">
        <v>0</v>
      </c>
      <c r="E22" s="8">
        <v>0.1</v>
      </c>
      <c r="F22" s="8">
        <v>0</v>
      </c>
      <c r="G22" s="8">
        <v>2.5</v>
      </c>
      <c r="H22" s="8">
        <v>0.01</v>
      </c>
      <c r="I22" s="9">
        <v>76</v>
      </c>
    </row>
    <row r="23" spans="1:9" x14ac:dyDescent="0.3">
      <c r="A23" s="7" t="s">
        <v>59</v>
      </c>
      <c r="B23" s="8">
        <v>5.9</v>
      </c>
      <c r="C23" s="8">
        <v>73</v>
      </c>
      <c r="D23" s="8">
        <v>5.3</v>
      </c>
      <c r="E23" s="8">
        <v>13</v>
      </c>
      <c r="F23" s="8">
        <v>1.4</v>
      </c>
      <c r="G23" s="8">
        <v>6.2</v>
      </c>
      <c r="H23" s="8">
        <v>0.84</v>
      </c>
      <c r="I23" s="9">
        <v>442</v>
      </c>
    </row>
    <row r="24" spans="1:9" x14ac:dyDescent="0.3">
      <c r="A24" s="7" t="s">
        <v>115</v>
      </c>
      <c r="B24" s="8">
        <v>2</v>
      </c>
      <c r="C24" s="8">
        <v>20</v>
      </c>
      <c r="D24" s="8">
        <v>0.3</v>
      </c>
      <c r="E24" s="8">
        <v>20</v>
      </c>
      <c r="F24" s="8">
        <v>3</v>
      </c>
      <c r="G24" s="8">
        <v>0</v>
      </c>
      <c r="H24" s="8">
        <v>0.4</v>
      </c>
      <c r="I24" s="9">
        <v>150</v>
      </c>
    </row>
    <row r="25" spans="1:9" ht="36" x14ac:dyDescent="0.3">
      <c r="A25" s="7" t="s">
        <v>31</v>
      </c>
      <c r="B25" s="8">
        <v>1.8</v>
      </c>
      <c r="C25" s="8">
        <v>20</v>
      </c>
      <c r="D25" s="8">
        <v>0</v>
      </c>
      <c r="E25" s="8">
        <v>0</v>
      </c>
      <c r="F25" s="8">
        <v>0</v>
      </c>
      <c r="G25" s="8">
        <v>2</v>
      </c>
      <c r="H25" s="8">
        <v>0.01</v>
      </c>
      <c r="I25" s="9">
        <v>87</v>
      </c>
    </row>
    <row r="26" spans="1:9" x14ac:dyDescent="0.3">
      <c r="A26" s="7" t="s">
        <v>30</v>
      </c>
      <c r="B26" s="8">
        <v>1.3</v>
      </c>
      <c r="C26" s="8">
        <v>7</v>
      </c>
      <c r="D26" s="8">
        <v>0</v>
      </c>
      <c r="E26" s="8">
        <v>0.5</v>
      </c>
      <c r="F26" s="8">
        <v>0.5</v>
      </c>
      <c r="G26" s="8">
        <v>0</v>
      </c>
      <c r="H26" s="8">
        <v>0.34</v>
      </c>
      <c r="I26" s="9">
        <v>41</v>
      </c>
    </row>
    <row r="27" spans="1:9" ht="24" x14ac:dyDescent="0.3">
      <c r="A27" s="7" t="s">
        <v>39</v>
      </c>
      <c r="B27" s="8">
        <v>23.4</v>
      </c>
      <c r="C27" s="8">
        <v>0</v>
      </c>
      <c r="D27" s="8">
        <v>0</v>
      </c>
      <c r="E27" s="8">
        <v>1.3</v>
      </c>
      <c r="F27" s="8">
        <v>0.3</v>
      </c>
      <c r="G27" s="8">
        <v>0</v>
      </c>
      <c r="H27" s="8">
        <v>0.2</v>
      </c>
      <c r="I27" s="9">
        <v>105</v>
      </c>
    </row>
    <row r="28" spans="1:9" x14ac:dyDescent="0.3">
      <c r="A28" s="7" t="s">
        <v>116</v>
      </c>
      <c r="B28" s="8">
        <v>6.3</v>
      </c>
      <c r="C28" s="8">
        <v>78</v>
      </c>
      <c r="D28" s="8">
        <v>33</v>
      </c>
      <c r="E28" s="8">
        <v>6.7</v>
      </c>
      <c r="F28" s="8">
        <v>5.5</v>
      </c>
      <c r="G28" s="8">
        <v>5.8</v>
      </c>
      <c r="H28" s="8">
        <v>0.68</v>
      </c>
      <c r="I28" s="9">
        <v>409</v>
      </c>
    </row>
    <row r="29" spans="1:9" x14ac:dyDescent="0.3">
      <c r="A29" s="7" t="s">
        <v>117</v>
      </c>
      <c r="B29" s="8">
        <v>4</v>
      </c>
      <c r="C29" s="8">
        <v>25</v>
      </c>
      <c r="D29" s="8">
        <v>20</v>
      </c>
      <c r="E29" s="8">
        <v>15</v>
      </c>
      <c r="F29" s="8">
        <v>9</v>
      </c>
      <c r="G29" s="8">
        <v>0.3</v>
      </c>
      <c r="H29" s="8">
        <v>0.1</v>
      </c>
      <c r="I29" s="9">
        <v>200</v>
      </c>
    </row>
    <row r="30" spans="1:9" x14ac:dyDescent="0.3">
      <c r="A30" s="7" t="s">
        <v>118</v>
      </c>
      <c r="B30" s="8">
        <v>27</v>
      </c>
      <c r="C30" s="8">
        <v>42</v>
      </c>
      <c r="D30" s="8">
        <v>9</v>
      </c>
      <c r="E30" s="8">
        <v>29</v>
      </c>
      <c r="F30" s="8">
        <v>10</v>
      </c>
      <c r="G30" s="8">
        <v>2.2999999999999998</v>
      </c>
      <c r="H30" s="8">
        <v>2.5</v>
      </c>
      <c r="I30" s="9">
        <v>544</v>
      </c>
    </row>
    <row r="31" spans="1:9" x14ac:dyDescent="0.3">
      <c r="A31" s="7" t="s">
        <v>119</v>
      </c>
      <c r="B31" s="8">
        <v>6.2</v>
      </c>
      <c r="C31" s="8">
        <v>55.2</v>
      </c>
      <c r="D31" s="8">
        <v>50.7</v>
      </c>
      <c r="E31" s="8">
        <v>29.3</v>
      </c>
      <c r="F31" s="8">
        <v>17.600000000000001</v>
      </c>
      <c r="G31" s="8">
        <v>7.5</v>
      </c>
      <c r="H31" s="8">
        <v>0.01</v>
      </c>
      <c r="I31" s="9">
        <v>524</v>
      </c>
    </row>
    <row r="32" spans="1:9" x14ac:dyDescent="0.3">
      <c r="A32" s="7" t="s">
        <v>120</v>
      </c>
      <c r="B32" s="8">
        <v>0</v>
      </c>
      <c r="C32" s="8">
        <v>4</v>
      </c>
      <c r="D32" s="8">
        <v>2</v>
      </c>
      <c r="E32" s="8">
        <v>0</v>
      </c>
      <c r="F32" s="8">
        <v>0</v>
      </c>
      <c r="G32" s="8">
        <v>0</v>
      </c>
      <c r="H32" s="8">
        <v>0</v>
      </c>
      <c r="I32" s="9">
        <v>60</v>
      </c>
    </row>
    <row r="33" spans="1:9" x14ac:dyDescent="0.3">
      <c r="A33" s="7" t="s">
        <v>29</v>
      </c>
      <c r="B33" s="8">
        <v>2</v>
      </c>
      <c r="C33" s="8">
        <v>3</v>
      </c>
      <c r="D33" s="8">
        <v>0</v>
      </c>
      <c r="E33" s="8">
        <v>0</v>
      </c>
      <c r="F33" s="8">
        <v>0</v>
      </c>
      <c r="G33" s="8">
        <v>3.3</v>
      </c>
      <c r="H33" s="8">
        <v>0</v>
      </c>
      <c r="I33" s="9">
        <v>30</v>
      </c>
    </row>
    <row r="34" spans="1:9" ht="24" x14ac:dyDescent="0.3">
      <c r="A34" s="7" t="s">
        <v>121</v>
      </c>
      <c r="B34" s="8">
        <v>7</v>
      </c>
      <c r="C34" s="8">
        <v>45</v>
      </c>
      <c r="D34" s="8">
        <v>25</v>
      </c>
      <c r="E34" s="8">
        <v>25</v>
      </c>
      <c r="F34" s="8">
        <v>10</v>
      </c>
      <c r="G34" s="8">
        <v>1</v>
      </c>
      <c r="H34" s="8">
        <v>0.3</v>
      </c>
      <c r="I34" s="9">
        <v>420</v>
      </c>
    </row>
    <row r="35" spans="1:9" x14ac:dyDescent="0.3">
      <c r="A35" s="7" t="s">
        <v>122</v>
      </c>
      <c r="B35" s="8">
        <v>2.8</v>
      </c>
      <c r="C35" s="8">
        <v>6.6</v>
      </c>
      <c r="D35" s="8">
        <v>0</v>
      </c>
      <c r="E35" s="8">
        <v>0.4</v>
      </c>
      <c r="F35" s="8">
        <v>0</v>
      </c>
      <c r="G35" s="8">
        <v>2.6</v>
      </c>
      <c r="H35" s="8">
        <v>0.01</v>
      </c>
      <c r="I35" s="9">
        <v>34</v>
      </c>
    </row>
    <row r="36" spans="1:9" x14ac:dyDescent="0.3">
      <c r="A36" s="7" t="s">
        <v>61</v>
      </c>
      <c r="B36" s="8">
        <v>2</v>
      </c>
      <c r="C36" s="8">
        <v>2.2000000000000002</v>
      </c>
      <c r="D36" s="8">
        <v>0</v>
      </c>
      <c r="E36" s="8">
        <v>0.49</v>
      </c>
      <c r="F36" s="8">
        <v>0.86</v>
      </c>
      <c r="G36" s="8">
        <v>0.53</v>
      </c>
      <c r="H36" s="8">
        <v>1E-3</v>
      </c>
      <c r="I36" s="9">
        <v>61.9</v>
      </c>
    </row>
    <row r="37" spans="1:9" ht="24" x14ac:dyDescent="0.3">
      <c r="A37" s="7" t="s">
        <v>123</v>
      </c>
      <c r="B37" s="8">
        <v>23</v>
      </c>
      <c r="C37" s="8">
        <v>18</v>
      </c>
      <c r="D37" s="8">
        <v>5.5</v>
      </c>
      <c r="E37" s="8">
        <v>50</v>
      </c>
      <c r="F37" s="8">
        <v>9.3000000000000007</v>
      </c>
      <c r="G37" s="8">
        <v>3.7</v>
      </c>
      <c r="H37" s="8">
        <v>0.5</v>
      </c>
      <c r="I37" s="9">
        <v>618</v>
      </c>
    </row>
    <row r="38" spans="1:9" x14ac:dyDescent="0.3">
      <c r="A38" s="7" t="s">
        <v>124</v>
      </c>
      <c r="B38" s="8">
        <v>19</v>
      </c>
      <c r="C38" s="8">
        <v>0</v>
      </c>
      <c r="D38" s="8">
        <v>0</v>
      </c>
      <c r="E38" s="8">
        <v>0.8</v>
      </c>
      <c r="F38" s="8">
        <v>0.2</v>
      </c>
      <c r="G38" s="8">
        <v>0</v>
      </c>
      <c r="H38" s="8">
        <v>0.4</v>
      </c>
      <c r="I38" s="9">
        <v>85</v>
      </c>
    </row>
    <row r="39" spans="1:9" ht="24" x14ac:dyDescent="0.3">
      <c r="A39" s="7" t="s">
        <v>125</v>
      </c>
      <c r="B39" s="8">
        <v>33</v>
      </c>
      <c r="C39" s="8">
        <v>40</v>
      </c>
      <c r="D39" s="8">
        <v>2.7</v>
      </c>
      <c r="E39" s="8">
        <v>12.6</v>
      </c>
      <c r="F39" s="8">
        <v>5.7</v>
      </c>
      <c r="G39" s="8">
        <v>0</v>
      </c>
      <c r="H39" s="8">
        <v>2.7</v>
      </c>
      <c r="I39" s="9">
        <v>406</v>
      </c>
    </row>
    <row r="40" spans="1:9" x14ac:dyDescent="0.3">
      <c r="A40" s="7" t="s">
        <v>126</v>
      </c>
      <c r="B40" s="8">
        <v>0.8</v>
      </c>
      <c r="C40" s="8">
        <v>8</v>
      </c>
      <c r="D40" s="8">
        <v>0</v>
      </c>
      <c r="E40" s="8">
        <v>0.2</v>
      </c>
      <c r="F40" s="8">
        <v>0</v>
      </c>
      <c r="G40" s="8">
        <v>2.8</v>
      </c>
      <c r="H40" s="8">
        <v>0.01</v>
      </c>
      <c r="I40" s="9">
        <v>35</v>
      </c>
    </row>
    <row r="41" spans="1:9" x14ac:dyDescent="0.3">
      <c r="A41" s="7" t="s">
        <v>127</v>
      </c>
      <c r="B41" s="8">
        <v>2.4</v>
      </c>
      <c r="C41" s="8">
        <v>21.9</v>
      </c>
      <c r="D41" s="8">
        <v>7.3</v>
      </c>
      <c r="E41" s="8">
        <v>2.2000000000000002</v>
      </c>
      <c r="F41" s="8">
        <v>0.3</v>
      </c>
      <c r="G41" s="8">
        <v>2.1</v>
      </c>
      <c r="H41" s="8">
        <v>0.14000000000000001</v>
      </c>
      <c r="I41" s="9">
        <v>122</v>
      </c>
    </row>
    <row r="42" spans="1:9" x14ac:dyDescent="0.3">
      <c r="A42" s="7" t="s">
        <v>128</v>
      </c>
      <c r="B42" s="8">
        <v>6</v>
      </c>
      <c r="C42" s="8">
        <v>35</v>
      </c>
      <c r="D42" s="8">
        <v>30</v>
      </c>
      <c r="E42" s="8">
        <v>25</v>
      </c>
      <c r="F42" s="8">
        <v>15</v>
      </c>
      <c r="G42" s="8">
        <v>0.5</v>
      </c>
      <c r="H42" s="8">
        <v>0.3</v>
      </c>
      <c r="I42" s="9">
        <v>350</v>
      </c>
    </row>
    <row r="43" spans="1:9" ht="24" x14ac:dyDescent="0.3">
      <c r="A43" s="11" t="s">
        <v>18</v>
      </c>
      <c r="B43" s="8">
        <v>1.6</v>
      </c>
      <c r="C43" s="8">
        <v>6.2</v>
      </c>
      <c r="D43" s="8">
        <v>0</v>
      </c>
      <c r="E43" s="8">
        <v>3.1</v>
      </c>
      <c r="F43" s="8">
        <v>0.3</v>
      </c>
      <c r="G43" s="8">
        <v>3.7</v>
      </c>
      <c r="H43" s="8">
        <v>5.0000000000000001E-3</v>
      </c>
      <c r="I43" s="9">
        <v>44</v>
      </c>
    </row>
    <row r="44" spans="1:9" x14ac:dyDescent="0.3">
      <c r="A44" s="7" t="s">
        <v>29</v>
      </c>
      <c r="B44" s="8">
        <v>2</v>
      </c>
      <c r="C44" s="8">
        <v>3</v>
      </c>
      <c r="D44" s="8">
        <v>0</v>
      </c>
      <c r="E44" s="8">
        <v>0</v>
      </c>
      <c r="F44" s="8">
        <v>0</v>
      </c>
      <c r="G44" s="8">
        <v>3.3</v>
      </c>
      <c r="H44" s="8">
        <v>0</v>
      </c>
      <c r="I44" s="9">
        <v>30</v>
      </c>
    </row>
    <row r="45" spans="1:9" x14ac:dyDescent="0.3">
      <c r="A45" s="7" t="s">
        <v>129</v>
      </c>
      <c r="B45" s="8">
        <v>5</v>
      </c>
      <c r="C45" s="8">
        <v>55</v>
      </c>
      <c r="D45" s="8">
        <v>30</v>
      </c>
      <c r="E45" s="8">
        <v>35</v>
      </c>
      <c r="F45" s="8">
        <v>20</v>
      </c>
      <c r="G45" s="8">
        <v>1</v>
      </c>
      <c r="H45" s="8">
        <v>0.4</v>
      </c>
      <c r="I45" s="9">
        <v>500</v>
      </c>
    </row>
    <row r="46" spans="1:9" ht="24" x14ac:dyDescent="0.3">
      <c r="A46" s="7" t="s">
        <v>184</v>
      </c>
      <c r="B46" s="8">
        <v>0.6</v>
      </c>
      <c r="C46" s="8">
        <v>19</v>
      </c>
      <c r="D46" s="8">
        <v>0</v>
      </c>
      <c r="E46" s="8">
        <v>0.2</v>
      </c>
      <c r="F46" s="8">
        <v>0</v>
      </c>
      <c r="G46" s="8">
        <v>4.2</v>
      </c>
      <c r="H46" s="8">
        <v>0</v>
      </c>
      <c r="I46" s="9">
        <v>75</v>
      </c>
    </row>
    <row r="47" spans="1:9" x14ac:dyDescent="0.3">
      <c r="A47" s="7" t="s">
        <v>130</v>
      </c>
      <c r="B47" s="8">
        <v>5.2</v>
      </c>
      <c r="C47" s="8">
        <v>47</v>
      </c>
      <c r="D47" s="8">
        <v>24</v>
      </c>
      <c r="E47" s="8">
        <v>23</v>
      </c>
      <c r="F47" s="8">
        <v>12</v>
      </c>
      <c r="G47" s="8">
        <v>1.9</v>
      </c>
      <c r="H47" s="8">
        <v>0.53</v>
      </c>
      <c r="I47" s="9">
        <v>420</v>
      </c>
    </row>
    <row r="48" spans="1:9" ht="24" x14ac:dyDescent="0.3">
      <c r="A48" s="7" t="s">
        <v>131</v>
      </c>
      <c r="B48" s="8">
        <v>3.9</v>
      </c>
      <c r="C48" s="8">
        <v>32.33</v>
      </c>
      <c r="D48" s="8">
        <v>15.1</v>
      </c>
      <c r="E48" s="8">
        <v>24</v>
      </c>
      <c r="F48" s="8">
        <v>11.25</v>
      </c>
      <c r="G48" s="8">
        <v>0</v>
      </c>
      <c r="H48" s="8">
        <v>0.56000000000000005</v>
      </c>
      <c r="I48" s="9">
        <v>363</v>
      </c>
    </row>
    <row r="49" spans="1:9" ht="24" x14ac:dyDescent="0.3">
      <c r="A49" s="7" t="s">
        <v>132</v>
      </c>
      <c r="B49" s="8">
        <v>5.8</v>
      </c>
      <c r="C49" s="8">
        <v>38</v>
      </c>
      <c r="D49" s="8">
        <v>18</v>
      </c>
      <c r="E49" s="8">
        <v>33</v>
      </c>
      <c r="F49" s="8">
        <v>17</v>
      </c>
      <c r="G49" s="8">
        <v>2.2000000000000002</v>
      </c>
      <c r="H49" s="8">
        <v>0.36</v>
      </c>
      <c r="I49" s="9">
        <v>477</v>
      </c>
    </row>
    <row r="50" spans="1:9" x14ac:dyDescent="0.3">
      <c r="A50" s="7" t="s">
        <v>37</v>
      </c>
      <c r="B50" s="8">
        <v>21</v>
      </c>
      <c r="C50" s="8">
        <v>0</v>
      </c>
      <c r="D50" s="8">
        <v>0</v>
      </c>
      <c r="E50" s="8">
        <v>3.5</v>
      </c>
      <c r="F50" s="8">
        <v>1</v>
      </c>
      <c r="G50" s="8">
        <v>0</v>
      </c>
      <c r="H50" s="8">
        <v>0.01</v>
      </c>
      <c r="I50" s="9">
        <v>120</v>
      </c>
    </row>
    <row r="51" spans="1:9" x14ac:dyDescent="0.3">
      <c r="A51" s="7" t="s">
        <v>133</v>
      </c>
      <c r="B51" s="8">
        <v>5.5</v>
      </c>
      <c r="C51" s="8">
        <v>14.5</v>
      </c>
      <c r="D51" s="8">
        <v>0</v>
      </c>
      <c r="E51" s="8">
        <v>0.4</v>
      </c>
      <c r="F51" s="8">
        <v>0</v>
      </c>
      <c r="G51" s="8">
        <v>5.5</v>
      </c>
      <c r="H51" s="8">
        <v>0.01</v>
      </c>
      <c r="I51" s="9">
        <v>85</v>
      </c>
    </row>
    <row r="52" spans="1:9" x14ac:dyDescent="0.3">
      <c r="A52" s="7" t="s">
        <v>15</v>
      </c>
      <c r="B52" s="8">
        <v>0.36</v>
      </c>
      <c r="C52" s="8">
        <v>7.0000000000000007E-2</v>
      </c>
      <c r="D52" s="8">
        <v>0</v>
      </c>
      <c r="E52" s="8">
        <v>0.08</v>
      </c>
      <c r="F52" s="8">
        <v>0</v>
      </c>
      <c r="G52" s="8">
        <v>0.21</v>
      </c>
      <c r="H52" s="8">
        <v>1.2999999999999999E-2</v>
      </c>
      <c r="I52" s="9">
        <v>11.8</v>
      </c>
    </row>
    <row r="53" spans="1:9" ht="24" x14ac:dyDescent="0.3">
      <c r="A53" s="7" t="s">
        <v>134</v>
      </c>
      <c r="B53" s="8">
        <v>22.9</v>
      </c>
      <c r="C53" s="8">
        <v>60.7</v>
      </c>
      <c r="D53" s="8">
        <v>14.1</v>
      </c>
      <c r="E53" s="8">
        <v>21.2</v>
      </c>
      <c r="F53" s="8">
        <v>5.8</v>
      </c>
      <c r="G53" s="8">
        <v>4.4000000000000004</v>
      </c>
      <c r="H53" s="8">
        <v>1.6</v>
      </c>
      <c r="I53" s="9">
        <v>534</v>
      </c>
    </row>
    <row r="54" spans="1:9" x14ac:dyDescent="0.3">
      <c r="A54" s="7" t="s">
        <v>135</v>
      </c>
      <c r="B54" s="8">
        <v>2</v>
      </c>
      <c r="C54" s="8">
        <v>7</v>
      </c>
      <c r="D54" s="8">
        <v>0</v>
      </c>
      <c r="E54" s="8">
        <v>0.2</v>
      </c>
      <c r="F54" s="8">
        <v>0</v>
      </c>
      <c r="G54" s="8">
        <v>3.4</v>
      </c>
      <c r="H54" s="8">
        <v>0.01</v>
      </c>
      <c r="I54" s="9">
        <v>35</v>
      </c>
    </row>
    <row r="55" spans="1:9" ht="24" x14ac:dyDescent="0.3">
      <c r="A55" s="7" t="s">
        <v>136</v>
      </c>
      <c r="B55" s="8">
        <v>9</v>
      </c>
      <c r="C55" s="8">
        <v>24</v>
      </c>
      <c r="D55" s="8">
        <v>0</v>
      </c>
      <c r="E55" s="8">
        <v>0.5</v>
      </c>
      <c r="F55" s="8">
        <v>0.1</v>
      </c>
      <c r="G55" s="8">
        <v>8</v>
      </c>
      <c r="H55" s="8">
        <v>0.3</v>
      </c>
      <c r="I55" s="9">
        <v>140</v>
      </c>
    </row>
    <row r="56" spans="1:9" x14ac:dyDescent="0.3">
      <c r="A56" s="7" t="s">
        <v>54</v>
      </c>
      <c r="B56" s="8">
        <v>1.2</v>
      </c>
      <c r="C56" s="8">
        <v>11.9</v>
      </c>
      <c r="D56" s="8">
        <v>0</v>
      </c>
      <c r="E56" s="8">
        <v>0.7</v>
      </c>
      <c r="F56" s="8">
        <v>0</v>
      </c>
      <c r="G56" s="8">
        <v>6.5</v>
      </c>
      <c r="H56" s="8">
        <v>1E-3</v>
      </c>
      <c r="I56" s="9">
        <v>52</v>
      </c>
    </row>
    <row r="57" spans="1:9" x14ac:dyDescent="0.3">
      <c r="A57" s="7" t="s">
        <v>137</v>
      </c>
      <c r="B57" s="8">
        <v>63</v>
      </c>
      <c r="C57" s="8">
        <v>70</v>
      </c>
      <c r="D57" s="8">
        <v>15</v>
      </c>
      <c r="E57" s="8">
        <v>70</v>
      </c>
      <c r="F57" s="8">
        <v>37</v>
      </c>
      <c r="G57" s="8">
        <v>3.2</v>
      </c>
      <c r="H57" s="8">
        <v>9</v>
      </c>
      <c r="I57" s="9">
        <v>1300</v>
      </c>
    </row>
    <row r="58" spans="1:9" ht="24" x14ac:dyDescent="0.3">
      <c r="A58" s="7" t="s">
        <v>38</v>
      </c>
      <c r="B58" s="8">
        <v>28.15</v>
      </c>
      <c r="C58" s="8">
        <v>0</v>
      </c>
      <c r="D58" s="8">
        <v>0</v>
      </c>
      <c r="E58" s="8">
        <v>5</v>
      </c>
      <c r="F58" s="8">
        <v>2</v>
      </c>
      <c r="G58" s="8">
        <v>0</v>
      </c>
      <c r="H58" s="8">
        <v>0.44</v>
      </c>
      <c r="I58" s="9">
        <v>170.34</v>
      </c>
    </row>
    <row r="59" spans="1:9" ht="24" x14ac:dyDescent="0.3">
      <c r="A59" s="7" t="s">
        <v>138</v>
      </c>
      <c r="B59" s="8">
        <v>38</v>
      </c>
      <c r="C59" s="8">
        <v>0</v>
      </c>
      <c r="D59" s="8">
        <v>0</v>
      </c>
      <c r="E59" s="8">
        <v>3.6</v>
      </c>
      <c r="F59" s="8">
        <v>1</v>
      </c>
      <c r="G59" s="8">
        <v>0</v>
      </c>
      <c r="H59" s="8">
        <v>0.6</v>
      </c>
      <c r="I59" s="9">
        <v>230</v>
      </c>
    </row>
    <row r="60" spans="1:9" ht="24" x14ac:dyDescent="0.3">
      <c r="A60" s="7" t="s">
        <v>34</v>
      </c>
      <c r="B60" s="8">
        <v>19.600000000000001</v>
      </c>
      <c r="C60" s="8">
        <v>5.8</v>
      </c>
      <c r="D60" s="8">
        <v>2.2999999999999998</v>
      </c>
      <c r="E60" s="8">
        <v>7.5</v>
      </c>
      <c r="F60" s="8">
        <v>0.7</v>
      </c>
      <c r="G60" s="8">
        <v>5.9</v>
      </c>
      <c r="H60" s="8">
        <v>1.3</v>
      </c>
      <c r="I60" s="9">
        <v>181</v>
      </c>
    </row>
    <row r="61" spans="1:9" ht="24" x14ac:dyDescent="0.3">
      <c r="A61" s="7" t="s">
        <v>35</v>
      </c>
      <c r="B61" s="8">
        <v>16.2</v>
      </c>
      <c r="C61" s="8">
        <v>5.2</v>
      </c>
      <c r="D61" s="8">
        <v>3.3</v>
      </c>
      <c r="E61" s="8">
        <v>14.4</v>
      </c>
      <c r="F61" s="8">
        <v>1</v>
      </c>
      <c r="G61" s="8">
        <v>5.9</v>
      </c>
      <c r="H61" s="8">
        <v>1</v>
      </c>
      <c r="I61" s="9">
        <v>227</v>
      </c>
    </row>
    <row r="62" spans="1:9" x14ac:dyDescent="0.3">
      <c r="A62" s="7" t="s">
        <v>67</v>
      </c>
      <c r="B62" s="8">
        <v>10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0.13</v>
      </c>
      <c r="I62" s="9">
        <v>40</v>
      </c>
    </row>
    <row r="63" spans="1:9" x14ac:dyDescent="0.3">
      <c r="A63" s="7" t="s">
        <v>139</v>
      </c>
      <c r="B63" s="8">
        <v>1.8</v>
      </c>
      <c r="C63" s="8">
        <v>0.6</v>
      </c>
      <c r="D63" s="8">
        <v>0</v>
      </c>
      <c r="E63" s="8">
        <v>0</v>
      </c>
      <c r="F63" s="8">
        <v>0</v>
      </c>
      <c r="G63" s="8">
        <v>0</v>
      </c>
      <c r="H63" s="8">
        <v>0.14000000000000001</v>
      </c>
      <c r="I63" s="9">
        <v>9</v>
      </c>
    </row>
    <row r="64" spans="1:9" x14ac:dyDescent="0.3">
      <c r="A64" s="7" t="s">
        <v>140</v>
      </c>
      <c r="B64" s="8">
        <v>1.5</v>
      </c>
      <c r="C64" s="8">
        <v>0.55000000000000004</v>
      </c>
      <c r="D64" s="8">
        <v>0</v>
      </c>
      <c r="E64" s="8">
        <v>0</v>
      </c>
      <c r="F64" s="8">
        <v>0</v>
      </c>
      <c r="G64" s="8">
        <v>0</v>
      </c>
      <c r="H64" s="8">
        <v>0.1</v>
      </c>
      <c r="I64" s="9">
        <v>9</v>
      </c>
    </row>
    <row r="65" spans="1:10" ht="24" x14ac:dyDescent="0.3">
      <c r="A65" s="7" t="s">
        <v>141</v>
      </c>
      <c r="B65" s="8">
        <v>30.7</v>
      </c>
      <c r="C65" s="8">
        <v>37.799999999999997</v>
      </c>
      <c r="D65" s="8">
        <v>27.1</v>
      </c>
      <c r="E65" s="8">
        <v>0.5</v>
      </c>
      <c r="F65" s="8">
        <v>0.1</v>
      </c>
      <c r="G65" s="8">
        <v>5</v>
      </c>
      <c r="H65" s="8">
        <v>0.42</v>
      </c>
      <c r="I65" s="9">
        <v>294</v>
      </c>
    </row>
    <row r="66" spans="1:10" ht="24" x14ac:dyDescent="0.3">
      <c r="A66" s="7" t="s">
        <v>35</v>
      </c>
      <c r="B66" s="8">
        <v>16.2</v>
      </c>
      <c r="C66" s="8">
        <v>5.2</v>
      </c>
      <c r="D66" s="8">
        <v>3.3</v>
      </c>
      <c r="E66" s="8">
        <v>14.4</v>
      </c>
      <c r="F66" s="8">
        <v>1</v>
      </c>
      <c r="G66" s="8">
        <v>5.9</v>
      </c>
      <c r="H66" s="8">
        <v>1</v>
      </c>
      <c r="I66" s="9">
        <v>227</v>
      </c>
    </row>
    <row r="67" spans="1:10" x14ac:dyDescent="0.3">
      <c r="A67" s="7" t="s">
        <v>142</v>
      </c>
      <c r="B67" s="8">
        <v>4</v>
      </c>
      <c r="C67" s="8">
        <v>6</v>
      </c>
      <c r="D67" s="8">
        <v>1</v>
      </c>
      <c r="E67" s="8">
        <v>3.5</v>
      </c>
      <c r="F67" s="8">
        <v>1</v>
      </c>
      <c r="G67" s="8">
        <v>0</v>
      </c>
      <c r="H67" s="8">
        <v>0.2</v>
      </c>
      <c r="I67" s="9">
        <v>65</v>
      </c>
    </row>
    <row r="68" spans="1:10" x14ac:dyDescent="0.3">
      <c r="A68" s="7" t="s">
        <v>143</v>
      </c>
      <c r="B68" s="8">
        <v>13</v>
      </c>
      <c r="C68" s="8">
        <v>2</v>
      </c>
      <c r="D68" s="8">
        <v>0.4</v>
      </c>
      <c r="E68" s="8">
        <v>2</v>
      </c>
      <c r="F68" s="8">
        <v>0.6</v>
      </c>
      <c r="G68" s="8">
        <v>0.4</v>
      </c>
      <c r="H68" s="8">
        <v>0.66</v>
      </c>
      <c r="I68" s="9">
        <v>78</v>
      </c>
    </row>
    <row r="69" spans="1:10" x14ac:dyDescent="0.3">
      <c r="A69" s="7" t="s">
        <v>144</v>
      </c>
      <c r="B69" s="8">
        <v>13</v>
      </c>
      <c r="C69" s="8">
        <v>29</v>
      </c>
      <c r="D69" s="8">
        <v>6.5</v>
      </c>
      <c r="E69" s="8">
        <v>9</v>
      </c>
      <c r="F69" s="8">
        <v>3.5</v>
      </c>
      <c r="G69" s="8">
        <v>1.1000000000000001</v>
      </c>
      <c r="H69" s="8">
        <v>1.25</v>
      </c>
      <c r="I69" s="9">
        <v>258</v>
      </c>
    </row>
    <row r="70" spans="1:10" ht="24" x14ac:dyDescent="0.3">
      <c r="A70" s="7" t="s">
        <v>183</v>
      </c>
      <c r="B70" s="8">
        <v>8.3000000000000007</v>
      </c>
      <c r="C70" s="8">
        <v>5.4</v>
      </c>
      <c r="D70" s="8">
        <v>5.0999999999999996</v>
      </c>
      <c r="E70" s="8">
        <v>0.5</v>
      </c>
      <c r="F70" s="8">
        <v>0.3</v>
      </c>
      <c r="G70" s="8">
        <v>0</v>
      </c>
      <c r="H70" s="8">
        <v>0.17</v>
      </c>
      <c r="I70" s="9">
        <v>60</v>
      </c>
    </row>
    <row r="71" spans="1:10" ht="24" x14ac:dyDescent="0.3">
      <c r="A71" s="7" t="s">
        <v>145</v>
      </c>
      <c r="B71" s="8">
        <v>16</v>
      </c>
      <c r="C71" s="8">
        <v>6.5</v>
      </c>
      <c r="D71" s="8">
        <v>6</v>
      </c>
      <c r="E71" s="8">
        <v>1</v>
      </c>
      <c r="F71" s="8">
        <v>0.6</v>
      </c>
      <c r="G71" s="8">
        <v>0.1</v>
      </c>
      <c r="H71" s="8">
        <v>0.19</v>
      </c>
      <c r="I71" s="9">
        <v>99</v>
      </c>
    </row>
    <row r="72" spans="1:10" ht="24" x14ac:dyDescent="0.3">
      <c r="A72" s="7" t="s">
        <v>16</v>
      </c>
      <c r="B72" s="8">
        <v>6.2</v>
      </c>
      <c r="C72" s="8">
        <v>6.4</v>
      </c>
      <c r="D72" s="8">
        <v>0</v>
      </c>
      <c r="E72" s="8">
        <v>0.2</v>
      </c>
      <c r="F72" s="8">
        <v>0.1</v>
      </c>
      <c r="G72" s="8">
        <v>0</v>
      </c>
      <c r="H72" s="8">
        <v>0.14000000000000001</v>
      </c>
      <c r="I72" s="9">
        <v>56</v>
      </c>
    </row>
    <row r="73" spans="1:10" x14ac:dyDescent="0.3">
      <c r="A73" s="11" t="s">
        <v>146</v>
      </c>
      <c r="B73" s="8">
        <v>0.2</v>
      </c>
      <c r="C73" s="8">
        <v>1.8</v>
      </c>
      <c r="D73" s="8">
        <v>1.4</v>
      </c>
      <c r="E73" s="8">
        <v>0.5</v>
      </c>
      <c r="F73" s="8">
        <v>0.1</v>
      </c>
      <c r="G73" s="8">
        <v>0.2</v>
      </c>
      <c r="H73" s="8">
        <v>0.26</v>
      </c>
      <c r="I73" s="9">
        <v>8</v>
      </c>
    </row>
    <row r="74" spans="1:10" x14ac:dyDescent="0.3">
      <c r="A74" s="7" t="s">
        <v>147</v>
      </c>
      <c r="B74" s="8">
        <v>3.6</v>
      </c>
      <c r="C74" s="8">
        <v>21.2</v>
      </c>
      <c r="D74" s="8">
        <v>17.8</v>
      </c>
      <c r="E74" s="8">
        <v>16</v>
      </c>
      <c r="F74" s="8">
        <v>7.4</v>
      </c>
      <c r="G74" s="8">
        <v>0</v>
      </c>
      <c r="H74" s="8">
        <v>0.1</v>
      </c>
      <c r="I74" s="9">
        <v>244</v>
      </c>
    </row>
    <row r="75" spans="1:10" x14ac:dyDescent="0.3">
      <c r="A75" s="7" t="s">
        <v>20</v>
      </c>
      <c r="B75" s="8">
        <v>1.1000000000000001</v>
      </c>
      <c r="C75" s="8">
        <v>15</v>
      </c>
      <c r="D75" s="8">
        <v>0</v>
      </c>
      <c r="E75" s="8">
        <v>0.5</v>
      </c>
      <c r="F75" s="8">
        <v>0</v>
      </c>
      <c r="G75" s="8">
        <v>3</v>
      </c>
      <c r="H75" s="8">
        <v>3.0000000000000001E-3</v>
      </c>
      <c r="I75" s="9">
        <v>61</v>
      </c>
      <c r="J75" s="10"/>
    </row>
    <row r="76" spans="1:10" x14ac:dyDescent="0.3">
      <c r="A76" s="7" t="s">
        <v>53</v>
      </c>
      <c r="B76" s="8">
        <v>1.9</v>
      </c>
      <c r="C76" s="8">
        <v>25</v>
      </c>
      <c r="D76" s="8">
        <v>0</v>
      </c>
      <c r="E76" s="8">
        <v>0.4</v>
      </c>
      <c r="F76" s="8">
        <v>0</v>
      </c>
      <c r="G76" s="8">
        <v>5</v>
      </c>
      <c r="H76" s="8">
        <v>3.0000000000000001E-3</v>
      </c>
      <c r="I76" s="9">
        <v>99</v>
      </c>
      <c r="J76" s="28"/>
    </row>
    <row r="77" spans="1:10" x14ac:dyDescent="0.3">
      <c r="A77" s="7" t="s">
        <v>148</v>
      </c>
      <c r="B77" s="8">
        <v>3.4</v>
      </c>
      <c r="C77" s="8">
        <v>5</v>
      </c>
      <c r="D77" s="8">
        <v>0</v>
      </c>
      <c r="E77" s="8">
        <v>0.1</v>
      </c>
      <c r="F77" s="8">
        <v>0.1</v>
      </c>
      <c r="G77" s="8">
        <v>0</v>
      </c>
      <c r="H77" s="8">
        <v>0.1</v>
      </c>
      <c r="I77" s="9">
        <v>35</v>
      </c>
    </row>
    <row r="78" spans="1:10" x14ac:dyDescent="0.3">
      <c r="A78" s="7" t="s">
        <v>12</v>
      </c>
      <c r="B78" s="8">
        <v>0</v>
      </c>
      <c r="C78" s="8">
        <v>9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9">
        <v>29</v>
      </c>
    </row>
    <row r="79" spans="1:10" ht="27.45" customHeight="1" x14ac:dyDescent="0.3">
      <c r="A79" s="7" t="s">
        <v>23</v>
      </c>
      <c r="B79" s="8">
        <v>1.9</v>
      </c>
      <c r="C79" s="8">
        <v>1.3</v>
      </c>
      <c r="D79" s="8">
        <v>0.95</v>
      </c>
      <c r="E79" s="8">
        <v>3.1</v>
      </c>
      <c r="F79" s="8">
        <v>0.03</v>
      </c>
      <c r="G79" s="8">
        <v>3.5</v>
      </c>
      <c r="H79" s="8">
        <v>1E-3</v>
      </c>
      <c r="I79" s="9">
        <v>47.7</v>
      </c>
    </row>
    <row r="80" spans="1:10" x14ac:dyDescent="0.3">
      <c r="A80" s="7" t="s">
        <v>51</v>
      </c>
      <c r="B80" s="8">
        <v>0.3</v>
      </c>
      <c r="C80" s="8">
        <v>14</v>
      </c>
      <c r="D80" s="8">
        <v>0</v>
      </c>
      <c r="E80" s="8">
        <v>0.2</v>
      </c>
      <c r="F80" s="8">
        <v>0</v>
      </c>
      <c r="G80" s="8">
        <v>2.4</v>
      </c>
      <c r="H80" s="8">
        <v>0.01</v>
      </c>
      <c r="I80" s="9">
        <v>52</v>
      </c>
    </row>
    <row r="81" spans="1:9" x14ac:dyDescent="0.3">
      <c r="A81" s="7" t="s">
        <v>149</v>
      </c>
      <c r="B81" s="8">
        <v>1</v>
      </c>
      <c r="C81" s="8">
        <v>6.09</v>
      </c>
      <c r="D81" s="8">
        <v>0.25</v>
      </c>
      <c r="E81" s="8">
        <v>1</v>
      </c>
      <c r="F81" s="8">
        <v>0.17</v>
      </c>
      <c r="G81" s="8">
        <v>0.34</v>
      </c>
      <c r="H81" s="8">
        <v>0.12</v>
      </c>
      <c r="I81" s="9">
        <v>38.299999999999997</v>
      </c>
    </row>
    <row r="82" spans="1:9" x14ac:dyDescent="0.3">
      <c r="A82" s="7" t="s">
        <v>150</v>
      </c>
      <c r="B82" s="8">
        <v>1.25</v>
      </c>
      <c r="C82" s="8">
        <v>5.17</v>
      </c>
      <c r="D82" s="8">
        <v>0.24</v>
      </c>
      <c r="E82" s="8">
        <v>0.92</v>
      </c>
      <c r="F82" s="8">
        <v>0.16</v>
      </c>
      <c r="G82" s="8">
        <v>0.56000000000000005</v>
      </c>
      <c r="H82" s="8">
        <v>0.1</v>
      </c>
      <c r="I82" s="9">
        <v>35.17</v>
      </c>
    </row>
    <row r="83" spans="1:9" x14ac:dyDescent="0.3">
      <c r="A83" s="7" t="s">
        <v>42</v>
      </c>
      <c r="B83" s="8">
        <v>1</v>
      </c>
      <c r="C83" s="8">
        <v>5.5</v>
      </c>
      <c r="D83" s="8">
        <v>0.28000000000000003</v>
      </c>
      <c r="E83" s="8">
        <v>1</v>
      </c>
      <c r="F83" s="8">
        <v>0.17</v>
      </c>
      <c r="G83" s="8">
        <v>0.35</v>
      </c>
      <c r="H83" s="8">
        <v>0.11</v>
      </c>
      <c r="I83" s="9">
        <v>35.83</v>
      </c>
    </row>
    <row r="84" spans="1:9" x14ac:dyDescent="0.3">
      <c r="A84" s="7" t="s">
        <v>41</v>
      </c>
      <c r="B84" s="8">
        <v>1</v>
      </c>
      <c r="C84" s="8">
        <v>5.5</v>
      </c>
      <c r="D84" s="8">
        <v>0.18</v>
      </c>
      <c r="E84" s="8">
        <v>0.92</v>
      </c>
      <c r="F84" s="8">
        <v>0.16</v>
      </c>
      <c r="G84" s="8">
        <v>0.36</v>
      </c>
      <c r="H84" s="8">
        <v>0</v>
      </c>
      <c r="I84" s="9">
        <v>35.25</v>
      </c>
    </row>
    <row r="85" spans="1:9" x14ac:dyDescent="0.3">
      <c r="A85" s="7" t="s">
        <v>151</v>
      </c>
      <c r="B85" s="8">
        <v>0.8</v>
      </c>
      <c r="C85" s="8">
        <v>8</v>
      </c>
      <c r="D85" s="8">
        <v>0</v>
      </c>
      <c r="E85" s="8">
        <v>0.2</v>
      </c>
      <c r="F85" s="8">
        <v>0</v>
      </c>
      <c r="G85" s="8">
        <v>0.9</v>
      </c>
      <c r="H85" s="8">
        <v>0.01</v>
      </c>
      <c r="I85" s="9">
        <v>34</v>
      </c>
    </row>
    <row r="86" spans="1:9" x14ac:dyDescent="0.3">
      <c r="A86" s="7" t="s">
        <v>17</v>
      </c>
      <c r="B86" s="8">
        <v>0.7</v>
      </c>
      <c r="C86" s="8">
        <v>14.5</v>
      </c>
      <c r="D86" s="8">
        <v>0</v>
      </c>
      <c r="E86" s="8">
        <v>0.3</v>
      </c>
      <c r="F86" s="8">
        <v>0</v>
      </c>
      <c r="G86" s="8">
        <v>2.4</v>
      </c>
      <c r="H86" s="8">
        <v>0.01</v>
      </c>
      <c r="I86" s="9">
        <v>57</v>
      </c>
    </row>
    <row r="87" spans="1:9" ht="24" x14ac:dyDescent="0.3">
      <c r="A87" s="7" t="s">
        <v>152</v>
      </c>
      <c r="B87" s="8">
        <v>15</v>
      </c>
      <c r="C87" s="8">
        <v>31</v>
      </c>
      <c r="D87" s="8">
        <v>13</v>
      </c>
      <c r="E87" s="8">
        <v>4.0999999999999996</v>
      </c>
      <c r="F87" s="8">
        <v>1.9</v>
      </c>
      <c r="G87" s="8">
        <v>3</v>
      </c>
      <c r="H87" s="8">
        <v>0.37</v>
      </c>
      <c r="I87" s="9">
        <v>227</v>
      </c>
    </row>
    <row r="88" spans="1:9" x14ac:dyDescent="0.3">
      <c r="A88" s="7" t="s">
        <v>153</v>
      </c>
      <c r="B88" s="8">
        <v>3.5</v>
      </c>
      <c r="C88" s="8">
        <v>6</v>
      </c>
      <c r="D88" s="8">
        <v>1</v>
      </c>
      <c r="E88" s="8">
        <v>2.5</v>
      </c>
      <c r="F88" s="8">
        <v>0.5</v>
      </c>
      <c r="G88" s="8">
        <v>0</v>
      </c>
      <c r="H88" s="8">
        <v>0.1</v>
      </c>
      <c r="I88" s="9">
        <v>55</v>
      </c>
    </row>
    <row r="89" spans="1:9" x14ac:dyDescent="0.3">
      <c r="A89" s="7" t="s">
        <v>154</v>
      </c>
      <c r="B89" s="8">
        <v>4.2</v>
      </c>
      <c r="C89" s="8">
        <v>69</v>
      </c>
      <c r="D89" s="8">
        <v>57</v>
      </c>
      <c r="E89" s="8">
        <v>21</v>
      </c>
      <c r="F89" s="8">
        <v>14</v>
      </c>
      <c r="G89" s="8">
        <v>0</v>
      </c>
      <c r="H89" s="8">
        <v>0</v>
      </c>
      <c r="I89" s="9">
        <v>485</v>
      </c>
    </row>
    <row r="90" spans="1:9" x14ac:dyDescent="0.3">
      <c r="A90" s="7" t="s">
        <v>56</v>
      </c>
      <c r="B90" s="8">
        <v>15</v>
      </c>
      <c r="C90" s="8">
        <v>9.6</v>
      </c>
      <c r="D90" s="8">
        <v>4.8</v>
      </c>
      <c r="E90" s="8">
        <v>3</v>
      </c>
      <c r="F90" s="8">
        <v>1.95</v>
      </c>
      <c r="G90" s="8">
        <v>2.7</v>
      </c>
      <c r="H90" s="8">
        <v>0.435</v>
      </c>
      <c r="I90" s="9">
        <v>130.5</v>
      </c>
    </row>
    <row r="91" spans="1:9" x14ac:dyDescent="0.3">
      <c r="A91" s="7" t="s">
        <v>155</v>
      </c>
      <c r="B91" s="26">
        <v>0.67</v>
      </c>
      <c r="C91" s="26">
        <v>0.42</v>
      </c>
      <c r="D91" s="26">
        <v>0</v>
      </c>
      <c r="E91" s="26">
        <v>2.5</v>
      </c>
      <c r="F91" s="26">
        <v>0.22</v>
      </c>
      <c r="G91" s="29">
        <v>0.2</v>
      </c>
      <c r="H91" s="8">
        <v>1E-3</v>
      </c>
      <c r="I91" s="27">
        <v>27.31</v>
      </c>
    </row>
    <row r="92" spans="1:9" ht="16.5" customHeight="1" x14ac:dyDescent="0.3">
      <c r="A92" s="7" t="s">
        <v>45</v>
      </c>
      <c r="B92" s="8">
        <v>4.3600000000000003</v>
      </c>
      <c r="C92" s="8">
        <v>2.74</v>
      </c>
      <c r="D92" s="8">
        <v>0</v>
      </c>
      <c r="E92" s="8">
        <v>16.260000000000002</v>
      </c>
      <c r="F92" s="8">
        <v>1.44</v>
      </c>
      <c r="G92" s="8">
        <v>1.33</v>
      </c>
      <c r="H92" s="8">
        <v>5.0000000000000001E-3</v>
      </c>
      <c r="I92" s="9">
        <v>177.5</v>
      </c>
    </row>
    <row r="93" spans="1:9" x14ac:dyDescent="0.3">
      <c r="A93" s="7" t="s">
        <v>156</v>
      </c>
      <c r="B93" s="8">
        <v>2.4</v>
      </c>
      <c r="C93" s="8">
        <v>3.64</v>
      </c>
      <c r="D93" s="8">
        <v>0</v>
      </c>
      <c r="E93" s="8">
        <v>18.72</v>
      </c>
      <c r="F93" s="8">
        <v>2.6</v>
      </c>
      <c r="G93" s="8">
        <v>2.5</v>
      </c>
      <c r="H93" s="8">
        <v>0.01</v>
      </c>
      <c r="I93" s="9">
        <v>197.6</v>
      </c>
    </row>
    <row r="94" spans="1:9" x14ac:dyDescent="0.3">
      <c r="A94" s="7" t="s">
        <v>157</v>
      </c>
      <c r="B94" s="8">
        <v>5.6</v>
      </c>
      <c r="C94" s="8">
        <v>2.7</v>
      </c>
      <c r="D94" s="8">
        <v>1.2</v>
      </c>
      <c r="E94" s="8">
        <v>17</v>
      </c>
      <c r="F94" s="8">
        <v>1.8</v>
      </c>
      <c r="G94" s="8">
        <v>2.1</v>
      </c>
      <c r="H94" s="8">
        <v>0</v>
      </c>
      <c r="I94" s="9">
        <v>193</v>
      </c>
    </row>
    <row r="95" spans="1:9" x14ac:dyDescent="0.3">
      <c r="A95" s="7" t="s">
        <v>21</v>
      </c>
      <c r="B95" s="8">
        <v>6.5</v>
      </c>
      <c r="C95" s="8">
        <v>0.6</v>
      </c>
      <c r="D95" s="8">
        <v>0.6</v>
      </c>
      <c r="E95" s="8">
        <v>5.9</v>
      </c>
      <c r="F95" s="8">
        <v>1.8</v>
      </c>
      <c r="G95" s="8">
        <v>0</v>
      </c>
      <c r="H95" s="8">
        <v>0.1</v>
      </c>
      <c r="I95" s="9">
        <v>84</v>
      </c>
    </row>
    <row r="96" spans="1:9" x14ac:dyDescent="0.3">
      <c r="A96" s="7" t="s">
        <v>158</v>
      </c>
      <c r="B96" s="8">
        <v>26.3</v>
      </c>
      <c r="C96" s="8">
        <v>41.3</v>
      </c>
      <c r="D96" s="8">
        <v>3</v>
      </c>
      <c r="E96" s="8">
        <v>15.8</v>
      </c>
      <c r="F96" s="8">
        <v>3.3</v>
      </c>
      <c r="G96" s="8">
        <v>3.8</v>
      </c>
      <c r="H96" s="8">
        <v>2.8</v>
      </c>
      <c r="I96" s="9">
        <v>419</v>
      </c>
    </row>
    <row r="97" spans="1:9" x14ac:dyDescent="0.3">
      <c r="A97" s="7" t="s">
        <v>159</v>
      </c>
      <c r="B97" s="8">
        <v>4</v>
      </c>
      <c r="C97" s="8">
        <v>55</v>
      </c>
      <c r="D97" s="8">
        <v>30</v>
      </c>
      <c r="E97" s="8">
        <v>35</v>
      </c>
      <c r="F97" s="8">
        <v>20</v>
      </c>
      <c r="G97" s="8">
        <v>1</v>
      </c>
      <c r="H97" s="8">
        <v>0.4</v>
      </c>
      <c r="I97" s="9">
        <v>500</v>
      </c>
    </row>
    <row r="98" spans="1:9" x14ac:dyDescent="0.3">
      <c r="A98" s="7" t="s">
        <v>160</v>
      </c>
      <c r="B98" s="8">
        <v>5.4</v>
      </c>
      <c r="C98" s="8">
        <v>27.3</v>
      </c>
      <c r="D98" s="8">
        <v>2.6</v>
      </c>
      <c r="E98" s="8">
        <v>2.2999999999999998</v>
      </c>
      <c r="F98" s="8">
        <v>0.7</v>
      </c>
      <c r="G98" s="8">
        <v>1.5</v>
      </c>
      <c r="H98" s="8">
        <v>0.56000000000000005</v>
      </c>
      <c r="I98" s="9">
        <v>155</v>
      </c>
    </row>
    <row r="99" spans="1:9" x14ac:dyDescent="0.3">
      <c r="A99" s="7" t="s">
        <v>161</v>
      </c>
      <c r="B99" s="8">
        <v>8</v>
      </c>
      <c r="C99" s="8">
        <v>45</v>
      </c>
      <c r="D99" s="8">
        <v>4</v>
      </c>
      <c r="E99" s="8">
        <v>20</v>
      </c>
      <c r="F99" s="8">
        <v>12</v>
      </c>
      <c r="G99" s="8">
        <v>2</v>
      </c>
      <c r="H99" s="8">
        <v>0.6</v>
      </c>
      <c r="I99" s="9">
        <v>290</v>
      </c>
    </row>
    <row r="100" spans="1:9" ht="24" x14ac:dyDescent="0.3">
      <c r="A100" s="7" t="s">
        <v>162</v>
      </c>
      <c r="B100" s="8">
        <v>4.5</v>
      </c>
      <c r="C100" s="8">
        <v>14</v>
      </c>
      <c r="D100" s="8">
        <v>1.9</v>
      </c>
      <c r="E100" s="8">
        <v>2.2000000000000002</v>
      </c>
      <c r="F100" s="8">
        <v>0.3</v>
      </c>
      <c r="G100" s="8">
        <v>2.6</v>
      </c>
      <c r="H100" s="8">
        <v>0.37</v>
      </c>
      <c r="I100" s="9">
        <v>100</v>
      </c>
    </row>
    <row r="101" spans="1:9" x14ac:dyDescent="0.3">
      <c r="A101" s="7" t="s">
        <v>163</v>
      </c>
      <c r="B101" s="8">
        <v>4.5</v>
      </c>
      <c r="C101" s="8">
        <v>14</v>
      </c>
      <c r="D101" s="8">
        <v>1.7</v>
      </c>
      <c r="E101" s="8">
        <v>2</v>
      </c>
      <c r="F101" s="8">
        <v>0.3</v>
      </c>
      <c r="G101" s="8">
        <v>2.2000000000000002</v>
      </c>
      <c r="H101" s="8">
        <v>0.36</v>
      </c>
      <c r="I101" s="9">
        <v>96</v>
      </c>
    </row>
    <row r="102" spans="1:9" ht="24" x14ac:dyDescent="0.3">
      <c r="A102" s="7" t="s">
        <v>50</v>
      </c>
      <c r="B102" s="8">
        <v>4.5</v>
      </c>
      <c r="C102" s="8">
        <v>5.7</v>
      </c>
      <c r="D102" s="8">
        <v>0.8</v>
      </c>
      <c r="E102" s="8">
        <v>2.4</v>
      </c>
      <c r="F102" s="8">
        <v>0.3</v>
      </c>
      <c r="G102" s="8">
        <v>4.5</v>
      </c>
      <c r="H102" s="8">
        <v>0.3</v>
      </c>
      <c r="I102" s="9">
        <v>71</v>
      </c>
    </row>
    <row r="103" spans="1:9" x14ac:dyDescent="0.3">
      <c r="A103" s="7" t="s">
        <v>52</v>
      </c>
      <c r="B103" s="8">
        <v>0.4</v>
      </c>
      <c r="C103" s="8">
        <v>12</v>
      </c>
      <c r="D103" s="8">
        <v>0</v>
      </c>
      <c r="E103" s="8">
        <v>0.5</v>
      </c>
      <c r="F103" s="8">
        <v>0</v>
      </c>
      <c r="G103" s="8">
        <v>2.9</v>
      </c>
      <c r="H103" s="8">
        <v>0</v>
      </c>
      <c r="I103" s="9">
        <v>61</v>
      </c>
    </row>
    <row r="104" spans="1:9" x14ac:dyDescent="0.3">
      <c r="A104" s="7" t="s">
        <v>164</v>
      </c>
      <c r="B104" s="8">
        <v>4.2</v>
      </c>
      <c r="C104" s="8">
        <v>83.3</v>
      </c>
      <c r="D104" s="8">
        <v>50.8</v>
      </c>
      <c r="E104" s="8">
        <v>8.1</v>
      </c>
      <c r="F104" s="8">
        <v>3.4</v>
      </c>
      <c r="G104" s="8">
        <v>2.5</v>
      </c>
      <c r="H104" s="8">
        <v>0.5</v>
      </c>
      <c r="I104" s="9">
        <v>428</v>
      </c>
    </row>
    <row r="105" spans="1:9" ht="24" x14ac:dyDescent="0.3">
      <c r="A105" s="7" t="s">
        <v>60</v>
      </c>
      <c r="B105" s="8">
        <v>2.5</v>
      </c>
      <c r="C105" s="8">
        <v>1.5</v>
      </c>
      <c r="D105" s="8">
        <v>0.65</v>
      </c>
      <c r="E105" s="8">
        <v>5</v>
      </c>
      <c r="F105" s="8">
        <v>0.65</v>
      </c>
      <c r="G105" s="8">
        <v>1.1000000000000001</v>
      </c>
      <c r="H105" s="8">
        <v>1E-3</v>
      </c>
      <c r="I105" s="9">
        <v>61.4</v>
      </c>
    </row>
    <row r="106" spans="1:9" ht="24" x14ac:dyDescent="0.3">
      <c r="A106" s="7" t="s">
        <v>69</v>
      </c>
      <c r="B106" s="8">
        <v>27</v>
      </c>
      <c r="C106" s="8">
        <v>21</v>
      </c>
      <c r="D106" s="8">
        <v>11</v>
      </c>
      <c r="E106" s="8">
        <v>9.1999999999999993</v>
      </c>
      <c r="F106" s="8">
        <v>2.2000000000000002</v>
      </c>
      <c r="G106" s="8">
        <v>5.3</v>
      </c>
      <c r="H106" s="8">
        <v>2.8</v>
      </c>
      <c r="I106" s="9">
        <v>288</v>
      </c>
    </row>
    <row r="107" spans="1:9" ht="24" x14ac:dyDescent="0.3">
      <c r="A107" s="7" t="s">
        <v>68</v>
      </c>
      <c r="B107" s="8">
        <v>31</v>
      </c>
      <c r="C107" s="8">
        <v>42</v>
      </c>
      <c r="D107" s="8">
        <v>6.2</v>
      </c>
      <c r="E107" s="8">
        <v>10</v>
      </c>
      <c r="F107" s="8">
        <v>2.2000000000000002</v>
      </c>
      <c r="G107" s="8">
        <v>3.9</v>
      </c>
      <c r="H107" s="8">
        <v>1.8</v>
      </c>
      <c r="I107" s="9">
        <v>392</v>
      </c>
    </row>
    <row r="108" spans="1:9" x14ac:dyDescent="0.3">
      <c r="A108" s="7" t="s">
        <v>165</v>
      </c>
      <c r="B108" s="8">
        <v>20</v>
      </c>
      <c r="C108" s="8">
        <v>13.9</v>
      </c>
      <c r="D108" s="8">
        <v>7</v>
      </c>
      <c r="E108" s="8">
        <v>3.2</v>
      </c>
      <c r="F108" s="8">
        <v>2.2000000000000002</v>
      </c>
      <c r="G108" s="8">
        <v>0</v>
      </c>
      <c r="H108" s="8">
        <v>0.6</v>
      </c>
      <c r="I108" s="9">
        <v>164</v>
      </c>
    </row>
    <row r="109" spans="1:9" x14ac:dyDescent="0.3">
      <c r="A109" s="7" t="s">
        <v>43</v>
      </c>
      <c r="B109" s="8">
        <v>10.4</v>
      </c>
      <c r="C109" s="8">
        <v>3</v>
      </c>
      <c r="D109" s="8">
        <v>0</v>
      </c>
      <c r="E109" s="8">
        <v>0.8</v>
      </c>
      <c r="F109" s="8">
        <v>0.56000000000000005</v>
      </c>
      <c r="G109" s="8">
        <v>0.3</v>
      </c>
      <c r="H109" s="8">
        <v>0.48</v>
      </c>
      <c r="I109" s="9">
        <v>61</v>
      </c>
    </row>
    <row r="110" spans="1:9" x14ac:dyDescent="0.3">
      <c r="A110" s="7" t="s">
        <v>25</v>
      </c>
      <c r="B110" s="8">
        <v>5.4</v>
      </c>
      <c r="C110" s="8">
        <v>0.3</v>
      </c>
      <c r="D110" s="8">
        <v>0</v>
      </c>
      <c r="E110" s="8">
        <v>2.7</v>
      </c>
      <c r="F110" s="8">
        <v>1.9</v>
      </c>
      <c r="G110" s="8">
        <v>0</v>
      </c>
      <c r="H110" s="8">
        <v>0.26</v>
      </c>
      <c r="I110" s="9">
        <v>47</v>
      </c>
    </row>
    <row r="111" spans="1:9" x14ac:dyDescent="0.3">
      <c r="A111" s="7" t="s">
        <v>44</v>
      </c>
      <c r="B111" s="8">
        <v>7.9</v>
      </c>
      <c r="C111" s="8">
        <v>2.6</v>
      </c>
      <c r="D111" s="8">
        <v>0</v>
      </c>
      <c r="E111" s="8">
        <v>0</v>
      </c>
      <c r="F111" s="8">
        <v>0</v>
      </c>
      <c r="G111" s="8">
        <v>0</v>
      </c>
      <c r="H111" s="8">
        <v>0.64</v>
      </c>
      <c r="I111" s="9">
        <v>42</v>
      </c>
    </row>
    <row r="112" spans="1:9" x14ac:dyDescent="0.3">
      <c r="A112" s="7" t="s">
        <v>166</v>
      </c>
      <c r="B112" s="8">
        <v>20</v>
      </c>
      <c r="C112" s="8">
        <v>0</v>
      </c>
      <c r="D112" s="8">
        <v>0</v>
      </c>
      <c r="E112" s="8">
        <v>3</v>
      </c>
      <c r="F112" s="8">
        <v>0.5</v>
      </c>
      <c r="G112" s="8">
        <v>0</v>
      </c>
      <c r="H112" s="8">
        <v>0.01</v>
      </c>
      <c r="I112" s="9">
        <v>110</v>
      </c>
    </row>
    <row r="113" spans="1:10" ht="24" x14ac:dyDescent="0.3">
      <c r="A113" s="7" t="s">
        <v>167</v>
      </c>
      <c r="B113" s="8">
        <v>7.6</v>
      </c>
      <c r="C113" s="8">
        <v>6.2</v>
      </c>
      <c r="D113" s="8">
        <v>0</v>
      </c>
      <c r="E113" s="8">
        <v>7.2</v>
      </c>
      <c r="F113" s="8">
        <v>5.5</v>
      </c>
      <c r="G113" s="8">
        <v>0</v>
      </c>
      <c r="H113" s="8">
        <v>0.9</v>
      </c>
      <c r="I113" s="9">
        <v>115</v>
      </c>
    </row>
    <row r="114" spans="1:10" x14ac:dyDescent="0.3">
      <c r="A114" s="7" t="s">
        <v>36</v>
      </c>
      <c r="B114" s="8">
        <v>20</v>
      </c>
      <c r="C114" s="8">
        <v>0</v>
      </c>
      <c r="D114" s="8">
        <v>0</v>
      </c>
      <c r="E114" s="8">
        <v>13</v>
      </c>
      <c r="F114" s="8">
        <v>3</v>
      </c>
      <c r="G114" s="8">
        <v>0</v>
      </c>
      <c r="H114" s="8">
        <v>0.59</v>
      </c>
      <c r="I114" s="9">
        <v>208</v>
      </c>
    </row>
    <row r="115" spans="1:10" ht="24" x14ac:dyDescent="0.3">
      <c r="A115" s="7" t="s">
        <v>168</v>
      </c>
      <c r="B115" s="8">
        <v>20.2</v>
      </c>
      <c r="C115" s="8">
        <v>0</v>
      </c>
      <c r="D115" s="8">
        <v>0</v>
      </c>
      <c r="E115" s="8">
        <v>10.4</v>
      </c>
      <c r="F115" s="8">
        <v>1.6</v>
      </c>
      <c r="G115" s="8">
        <v>0</v>
      </c>
      <c r="H115" s="8">
        <v>2.5299999999999998</v>
      </c>
      <c r="I115" s="9">
        <v>174</v>
      </c>
    </row>
    <row r="116" spans="1:10" ht="24" x14ac:dyDescent="0.3">
      <c r="A116" s="7" t="s">
        <v>169</v>
      </c>
      <c r="B116" s="8">
        <v>6.82</v>
      </c>
      <c r="C116" s="8">
        <v>0.24</v>
      </c>
      <c r="D116" s="8">
        <v>0.24</v>
      </c>
      <c r="E116" s="8">
        <v>4.41</v>
      </c>
      <c r="F116" s="8">
        <v>1.31</v>
      </c>
      <c r="G116" s="8">
        <v>0</v>
      </c>
      <c r="H116" s="8">
        <v>0.68200000000000005</v>
      </c>
      <c r="I116" s="9">
        <v>68.25</v>
      </c>
    </row>
    <row r="117" spans="1:10" x14ac:dyDescent="0.3">
      <c r="A117" s="7" t="s">
        <v>170</v>
      </c>
      <c r="B117" s="8">
        <v>11.25</v>
      </c>
      <c r="C117" s="8">
        <v>2.7</v>
      </c>
      <c r="D117" s="8">
        <v>1.125</v>
      </c>
      <c r="E117" s="8">
        <v>9</v>
      </c>
      <c r="F117" s="8">
        <v>3.2250000000000001</v>
      </c>
      <c r="G117" s="8">
        <v>0</v>
      </c>
      <c r="H117" s="8">
        <v>0.48799999999999999</v>
      </c>
      <c r="I117" s="9">
        <v>138.75</v>
      </c>
    </row>
    <row r="118" spans="1:10" ht="24" x14ac:dyDescent="0.3">
      <c r="A118" s="7" t="s">
        <v>171</v>
      </c>
      <c r="B118" s="8">
        <v>17.850000000000001</v>
      </c>
      <c r="C118" s="8">
        <v>0.6</v>
      </c>
      <c r="D118" s="8">
        <v>0.4</v>
      </c>
      <c r="E118" s="8">
        <v>6.8</v>
      </c>
      <c r="F118" s="8">
        <v>1.87</v>
      </c>
      <c r="G118" s="8">
        <v>0.5</v>
      </c>
      <c r="H118" s="8">
        <v>0.75</v>
      </c>
      <c r="I118" s="9">
        <v>133</v>
      </c>
    </row>
    <row r="119" spans="1:10" ht="24" x14ac:dyDescent="0.3">
      <c r="A119" s="7" t="s">
        <v>47</v>
      </c>
      <c r="B119" s="8">
        <v>3.5</v>
      </c>
      <c r="C119" s="8">
        <v>2.2000000000000002</v>
      </c>
      <c r="D119" s="8">
        <v>0</v>
      </c>
      <c r="E119" s="8">
        <v>4.5</v>
      </c>
      <c r="F119" s="8">
        <v>0.88</v>
      </c>
      <c r="G119" s="8">
        <v>0.79</v>
      </c>
      <c r="H119" s="8">
        <v>3.0000000000000001E-3</v>
      </c>
      <c r="I119" s="9">
        <v>56.9</v>
      </c>
    </row>
    <row r="120" spans="1:10" ht="24" x14ac:dyDescent="0.3">
      <c r="A120" s="7" t="s">
        <v>48</v>
      </c>
      <c r="B120" s="8">
        <v>3.3</v>
      </c>
      <c r="C120" s="8">
        <v>0.36</v>
      </c>
      <c r="D120" s="8">
        <v>0</v>
      </c>
      <c r="E120" s="8">
        <v>0.48</v>
      </c>
      <c r="F120" s="8">
        <v>0.52</v>
      </c>
      <c r="G120" s="8">
        <v>0.6</v>
      </c>
      <c r="H120" s="8">
        <v>7.0000000000000001E-3</v>
      </c>
      <c r="I120" s="9">
        <v>59</v>
      </c>
    </row>
    <row r="121" spans="1:10" ht="24" x14ac:dyDescent="0.3">
      <c r="A121" s="7" t="s">
        <v>49</v>
      </c>
      <c r="B121" s="8">
        <v>2.2799999999999998</v>
      </c>
      <c r="C121" s="8">
        <v>1.88</v>
      </c>
      <c r="D121" s="8">
        <v>0.26</v>
      </c>
      <c r="E121" s="8">
        <v>4.96</v>
      </c>
      <c r="F121" s="8">
        <v>0.52</v>
      </c>
      <c r="G121" s="8">
        <v>1.05</v>
      </c>
      <c r="H121" s="8">
        <v>3.0000000000000001E-3</v>
      </c>
      <c r="I121" s="9">
        <v>63.4</v>
      </c>
    </row>
    <row r="122" spans="1:10" x14ac:dyDescent="0.3">
      <c r="A122" s="7" t="s">
        <v>55</v>
      </c>
      <c r="B122" s="8">
        <v>17</v>
      </c>
      <c r="C122" s="8">
        <v>10.1</v>
      </c>
      <c r="D122" s="8">
        <v>7.2</v>
      </c>
      <c r="E122" s="8">
        <v>4</v>
      </c>
      <c r="F122" s="8">
        <v>3</v>
      </c>
      <c r="G122" s="8">
        <v>1.8</v>
      </c>
      <c r="H122" s="8">
        <v>0.5</v>
      </c>
      <c r="I122" s="9">
        <v>149</v>
      </c>
    </row>
    <row r="123" spans="1:10" x14ac:dyDescent="0.3">
      <c r="A123" s="11" t="s">
        <v>58</v>
      </c>
      <c r="B123" s="12">
        <v>1.1000000000000001</v>
      </c>
      <c r="C123" s="12">
        <v>17</v>
      </c>
      <c r="D123" s="12">
        <v>12</v>
      </c>
      <c r="E123" s="12">
        <v>2.2999999999999998</v>
      </c>
      <c r="F123" s="12">
        <v>1.9</v>
      </c>
      <c r="G123" s="12">
        <v>1.4</v>
      </c>
      <c r="H123" s="12">
        <v>0.06</v>
      </c>
      <c r="I123" s="13">
        <v>98</v>
      </c>
      <c r="J123" s="10"/>
    </row>
    <row r="124" spans="1:10" x14ac:dyDescent="0.3">
      <c r="A124" s="7" t="s">
        <v>26</v>
      </c>
      <c r="B124" s="8">
        <v>0.8</v>
      </c>
      <c r="C124" s="8">
        <v>3.9</v>
      </c>
      <c r="D124" s="8">
        <v>1.6</v>
      </c>
      <c r="E124" s="8">
        <v>0.7</v>
      </c>
      <c r="F124" s="8">
        <v>0.1</v>
      </c>
      <c r="G124" s="8">
        <v>1.1000000000000001</v>
      </c>
      <c r="H124" s="8">
        <v>0.39</v>
      </c>
      <c r="I124" s="9">
        <v>27</v>
      </c>
    </row>
    <row r="125" spans="1:10" ht="24" x14ac:dyDescent="0.3">
      <c r="A125" s="7" t="s">
        <v>172</v>
      </c>
      <c r="B125" s="8">
        <v>0.8</v>
      </c>
      <c r="C125" s="8">
        <v>4.5999999999999996</v>
      </c>
      <c r="D125" s="8">
        <v>1.3</v>
      </c>
      <c r="E125" s="8">
        <v>1.6</v>
      </c>
      <c r="F125" s="8">
        <v>0.2</v>
      </c>
      <c r="G125" s="8">
        <v>0</v>
      </c>
      <c r="H125" s="8">
        <v>0.5</v>
      </c>
      <c r="I125" s="9">
        <v>36</v>
      </c>
    </row>
    <row r="126" spans="1:10" x14ac:dyDescent="0.3">
      <c r="A126" s="7" t="s">
        <v>13</v>
      </c>
      <c r="B126" s="8">
        <v>0.8</v>
      </c>
      <c r="C126" s="8">
        <v>4</v>
      </c>
      <c r="D126" s="8">
        <v>1</v>
      </c>
      <c r="E126" s="8">
        <v>1</v>
      </c>
      <c r="F126" s="8">
        <v>0.1</v>
      </c>
      <c r="G126" s="8">
        <v>1</v>
      </c>
      <c r="H126" s="8">
        <v>0.4</v>
      </c>
      <c r="I126" s="9">
        <v>27</v>
      </c>
    </row>
    <row r="127" spans="1:10" x14ac:dyDescent="0.3">
      <c r="A127" s="7" t="s">
        <v>173</v>
      </c>
      <c r="B127" s="8">
        <v>8</v>
      </c>
      <c r="C127" s="8">
        <v>40</v>
      </c>
      <c r="D127" s="8">
        <v>5</v>
      </c>
      <c r="E127" s="8">
        <v>10</v>
      </c>
      <c r="F127" s="8">
        <v>3</v>
      </c>
      <c r="G127" s="8">
        <v>2</v>
      </c>
      <c r="H127" s="8">
        <v>0.8</v>
      </c>
      <c r="I127" s="9">
        <v>300</v>
      </c>
    </row>
    <row r="128" spans="1:10" x14ac:dyDescent="0.3">
      <c r="A128" s="7" t="s">
        <v>174</v>
      </c>
      <c r="B128" s="8">
        <v>0.9</v>
      </c>
      <c r="C128" s="8">
        <v>3.9</v>
      </c>
      <c r="D128" s="8">
        <v>0</v>
      </c>
      <c r="E128" s="8">
        <v>0.2</v>
      </c>
      <c r="F128" s="8">
        <v>0</v>
      </c>
      <c r="G128" s="8">
        <v>1.2</v>
      </c>
      <c r="H128" s="8">
        <v>0.01</v>
      </c>
      <c r="I128" s="9">
        <v>18</v>
      </c>
    </row>
    <row r="129" spans="1:9" ht="24" x14ac:dyDescent="0.3">
      <c r="A129" s="7" t="s">
        <v>14</v>
      </c>
      <c r="B129" s="8">
        <v>0.75</v>
      </c>
      <c r="C129" s="8">
        <v>3.25</v>
      </c>
      <c r="D129" s="8">
        <v>0</v>
      </c>
      <c r="E129" s="8">
        <v>0.2</v>
      </c>
      <c r="F129" s="8">
        <v>0</v>
      </c>
      <c r="G129" s="8">
        <v>1</v>
      </c>
      <c r="H129" s="8">
        <v>0.01</v>
      </c>
      <c r="I129" s="9">
        <v>15</v>
      </c>
    </row>
    <row r="130" spans="1:9" ht="24" x14ac:dyDescent="0.3">
      <c r="A130" s="7" t="s">
        <v>57</v>
      </c>
      <c r="B130" s="8">
        <v>1.4</v>
      </c>
      <c r="C130" s="8">
        <v>6.48</v>
      </c>
      <c r="D130" s="8">
        <v>0.1</v>
      </c>
      <c r="E130" s="8">
        <v>0.22</v>
      </c>
      <c r="F130" s="8">
        <v>0.05</v>
      </c>
      <c r="G130" s="8">
        <v>1</v>
      </c>
      <c r="H130" s="8">
        <v>1E-3</v>
      </c>
      <c r="I130" s="9">
        <v>35.700000000000003</v>
      </c>
    </row>
    <row r="131" spans="1:9" x14ac:dyDescent="0.3">
      <c r="A131" s="7" t="s">
        <v>175</v>
      </c>
      <c r="B131" s="8">
        <v>0.5</v>
      </c>
      <c r="C131" s="8">
        <v>4.72</v>
      </c>
      <c r="D131" s="8">
        <v>0.04</v>
      </c>
      <c r="E131" s="8">
        <v>0.19</v>
      </c>
      <c r="F131" s="8">
        <v>0.04</v>
      </c>
      <c r="G131" s="8">
        <v>0.19</v>
      </c>
      <c r="H131" s="8">
        <v>2E-3</v>
      </c>
      <c r="I131" s="9">
        <v>23</v>
      </c>
    </row>
    <row r="132" spans="1:9" ht="24" x14ac:dyDescent="0.3">
      <c r="A132" s="7" t="s">
        <v>176</v>
      </c>
      <c r="B132" s="8">
        <v>6.4</v>
      </c>
      <c r="C132" s="8">
        <v>61</v>
      </c>
      <c r="D132" s="8">
        <v>28</v>
      </c>
      <c r="E132" s="8">
        <v>24</v>
      </c>
      <c r="F132" s="8">
        <v>14</v>
      </c>
      <c r="G132" s="8">
        <v>5.3</v>
      </c>
      <c r="H132" s="8">
        <v>0.01</v>
      </c>
      <c r="I132" s="9">
        <v>491</v>
      </c>
    </row>
    <row r="133" spans="1:9" ht="24" x14ac:dyDescent="0.3">
      <c r="A133" s="7" t="s">
        <v>177</v>
      </c>
      <c r="B133" s="8">
        <v>0.7</v>
      </c>
      <c r="C133" s="8">
        <v>7</v>
      </c>
      <c r="D133" s="8">
        <v>0</v>
      </c>
      <c r="E133" s="8">
        <v>0.1</v>
      </c>
      <c r="F133" s="8">
        <v>0</v>
      </c>
      <c r="G133" s="8">
        <v>0.2</v>
      </c>
      <c r="H133" s="8">
        <v>0.01</v>
      </c>
      <c r="I133" s="9">
        <v>30</v>
      </c>
    </row>
    <row r="134" spans="1:9" ht="24" x14ac:dyDescent="0.3">
      <c r="A134" s="7" t="s">
        <v>178</v>
      </c>
      <c r="B134" s="8">
        <v>13</v>
      </c>
      <c r="C134" s="8">
        <v>45</v>
      </c>
      <c r="D134" s="8">
        <v>38</v>
      </c>
      <c r="E134" s="8">
        <v>35</v>
      </c>
      <c r="F134" s="8">
        <v>4</v>
      </c>
      <c r="G134" s="8">
        <v>7</v>
      </c>
      <c r="H134" s="8">
        <v>0.7</v>
      </c>
      <c r="I134" s="9">
        <v>561</v>
      </c>
    </row>
    <row r="135" spans="1:9" ht="24" x14ac:dyDescent="0.3">
      <c r="A135" s="7" t="s">
        <v>179</v>
      </c>
      <c r="B135" s="8">
        <v>0.7</v>
      </c>
      <c r="C135" s="8">
        <v>18</v>
      </c>
      <c r="D135" s="8">
        <v>0</v>
      </c>
      <c r="E135" s="8">
        <v>0.2</v>
      </c>
      <c r="F135" s="8">
        <v>0</v>
      </c>
      <c r="G135" s="8">
        <v>0.9</v>
      </c>
      <c r="H135" s="8">
        <v>0.01</v>
      </c>
      <c r="I135" s="9">
        <v>70</v>
      </c>
    </row>
    <row r="136" spans="1:9" x14ac:dyDescent="0.3">
      <c r="A136" s="7" t="s">
        <v>180</v>
      </c>
      <c r="B136" s="8">
        <v>4.5</v>
      </c>
      <c r="C136" s="8">
        <v>26</v>
      </c>
      <c r="D136" s="8">
        <v>1.6</v>
      </c>
      <c r="E136" s="8">
        <v>0.8</v>
      </c>
      <c r="F136" s="8">
        <v>0.2</v>
      </c>
      <c r="G136" s="8">
        <v>3.8</v>
      </c>
      <c r="H136" s="8">
        <v>0.1</v>
      </c>
      <c r="I136" s="9">
        <v>136</v>
      </c>
    </row>
    <row r="137" spans="1:9" x14ac:dyDescent="0.3">
      <c r="A137" s="7"/>
      <c r="B137" s="8"/>
      <c r="C137" s="8"/>
      <c r="D137" s="8"/>
      <c r="E137" s="8"/>
      <c r="F137" s="8"/>
      <c r="G137" s="8"/>
      <c r="H137" s="8"/>
      <c r="I137" s="9"/>
    </row>
    <row r="138" spans="1:9" x14ac:dyDescent="0.3">
      <c r="A138" s="7"/>
      <c r="B138" s="8"/>
      <c r="C138" s="8"/>
      <c r="D138" s="8"/>
      <c r="E138" s="8"/>
      <c r="F138" s="8"/>
      <c r="G138" s="8"/>
      <c r="H138" s="8"/>
      <c r="I138" s="9"/>
    </row>
    <row r="139" spans="1:9" x14ac:dyDescent="0.3">
      <c r="A139" s="7"/>
      <c r="B139" s="8"/>
      <c r="C139" s="8"/>
      <c r="D139" s="8"/>
      <c r="E139" s="8"/>
      <c r="F139" s="8"/>
      <c r="G139" s="8"/>
      <c r="H139" s="8"/>
      <c r="I139" s="9"/>
    </row>
    <row r="140" spans="1:9" x14ac:dyDescent="0.3">
      <c r="A140" s="7"/>
      <c r="B140" s="8"/>
      <c r="C140" s="8"/>
      <c r="D140" s="8"/>
      <c r="E140" s="8"/>
      <c r="F140" s="8"/>
      <c r="G140" s="8"/>
      <c r="H140" s="8"/>
      <c r="I140" s="9"/>
    </row>
    <row r="141" spans="1:9" x14ac:dyDescent="0.3">
      <c r="A141" s="7"/>
      <c r="B141" s="8"/>
      <c r="C141" s="8"/>
      <c r="D141" s="8"/>
      <c r="E141" s="8"/>
      <c r="F141" s="8"/>
      <c r="G141" s="8"/>
      <c r="H141" s="8"/>
      <c r="I141" s="9"/>
    </row>
    <row r="142" spans="1:9" x14ac:dyDescent="0.3">
      <c r="A142" s="7"/>
      <c r="B142" s="8"/>
      <c r="C142" s="8"/>
      <c r="D142" s="8"/>
      <c r="E142" s="8"/>
      <c r="F142" s="8"/>
      <c r="G142" s="8"/>
      <c r="H142" s="8"/>
      <c r="I142" s="9"/>
    </row>
    <row r="143" spans="1:9" x14ac:dyDescent="0.3">
      <c r="A143" s="7"/>
      <c r="B143" s="8"/>
      <c r="C143" s="8"/>
      <c r="D143" s="8"/>
      <c r="E143" s="8"/>
      <c r="F143" s="8"/>
      <c r="G143" s="8"/>
      <c r="H143" s="8"/>
      <c r="I143" s="9"/>
    </row>
    <row r="144" spans="1:9" x14ac:dyDescent="0.3">
      <c r="A144" s="7"/>
      <c r="B144" s="8"/>
      <c r="C144" s="8"/>
      <c r="D144" s="8"/>
      <c r="E144" s="8"/>
      <c r="F144" s="8"/>
      <c r="G144" s="8"/>
      <c r="H144" s="8"/>
      <c r="I144" s="9"/>
    </row>
    <row r="145" spans="1:9" x14ac:dyDescent="0.3">
      <c r="A145" s="7"/>
      <c r="B145" s="8"/>
      <c r="C145" s="8"/>
      <c r="D145" s="8"/>
      <c r="E145" s="8"/>
      <c r="F145" s="8"/>
      <c r="G145" s="8"/>
      <c r="H145" s="8"/>
      <c r="I145" s="9"/>
    </row>
    <row r="146" spans="1:9" x14ac:dyDescent="0.3">
      <c r="A146" s="7"/>
      <c r="B146" s="8"/>
      <c r="C146" s="8"/>
      <c r="D146" s="8"/>
      <c r="E146" s="8"/>
      <c r="F146" s="8"/>
      <c r="G146" s="8"/>
      <c r="H146" s="8"/>
      <c r="I146" s="9"/>
    </row>
    <row r="147" spans="1:9" x14ac:dyDescent="0.3">
      <c r="A147" s="7"/>
      <c r="B147" s="8"/>
      <c r="C147" s="8"/>
      <c r="D147" s="8"/>
      <c r="E147" s="8"/>
      <c r="F147" s="8"/>
      <c r="G147" s="8"/>
      <c r="H147" s="8"/>
      <c r="I147" s="9"/>
    </row>
    <row r="148" spans="1:9" x14ac:dyDescent="0.3">
      <c r="A148" s="7"/>
      <c r="B148" s="8"/>
      <c r="C148" s="8"/>
      <c r="D148" s="8"/>
      <c r="E148" s="8"/>
      <c r="F148" s="8"/>
      <c r="G148" s="8"/>
      <c r="H148" s="8"/>
      <c r="I148" s="9"/>
    </row>
    <row r="149" spans="1:9" x14ac:dyDescent="0.3">
      <c r="A149" s="7"/>
      <c r="B149" s="8"/>
      <c r="C149" s="8"/>
      <c r="D149" s="8"/>
      <c r="E149" s="8"/>
      <c r="F149" s="8"/>
      <c r="G149" s="8"/>
      <c r="H149" s="8"/>
      <c r="I149" s="9"/>
    </row>
    <row r="150" spans="1:9" x14ac:dyDescent="0.3">
      <c r="A150" s="7"/>
      <c r="B150" s="8"/>
      <c r="C150" s="8"/>
      <c r="D150" s="8"/>
      <c r="E150" s="8"/>
      <c r="F150" s="8"/>
      <c r="G150" s="8"/>
      <c r="H150" s="8"/>
      <c r="I150" s="9"/>
    </row>
    <row r="151" spans="1:9" x14ac:dyDescent="0.3">
      <c r="A151" s="7"/>
      <c r="B151" s="8"/>
      <c r="C151" s="8"/>
      <c r="D151" s="8"/>
      <c r="E151" s="8"/>
      <c r="F151" s="8"/>
      <c r="G151" s="8"/>
      <c r="H151" s="8"/>
      <c r="I151" s="9"/>
    </row>
    <row r="152" spans="1:9" x14ac:dyDescent="0.3">
      <c r="A152" s="7"/>
      <c r="B152" s="8"/>
      <c r="C152" s="8"/>
      <c r="D152" s="8"/>
      <c r="E152" s="8"/>
      <c r="F152" s="8"/>
      <c r="G152" s="8"/>
      <c r="H152" s="8"/>
      <c r="I152" s="9"/>
    </row>
    <row r="153" spans="1:9" x14ac:dyDescent="0.3">
      <c r="A153" s="7"/>
      <c r="B153" s="8"/>
      <c r="C153" s="8"/>
      <c r="D153" s="8"/>
      <c r="E153" s="8"/>
      <c r="F153" s="8"/>
      <c r="G153" s="8"/>
      <c r="H153" s="8"/>
      <c r="I153" s="9"/>
    </row>
    <row r="154" spans="1:9" x14ac:dyDescent="0.3">
      <c r="A154" s="7"/>
      <c r="B154" s="8"/>
      <c r="C154" s="8"/>
      <c r="D154" s="8"/>
      <c r="E154" s="8"/>
      <c r="F154" s="8"/>
      <c r="G154" s="8"/>
      <c r="H154" s="8"/>
      <c r="I154" s="9"/>
    </row>
    <row r="155" spans="1:9" x14ac:dyDescent="0.3">
      <c r="A155" s="7"/>
      <c r="B155" s="8"/>
      <c r="C155" s="8"/>
      <c r="D155" s="8"/>
      <c r="E155" s="8"/>
      <c r="F155" s="8"/>
      <c r="G155" s="8"/>
      <c r="H155" s="8"/>
      <c r="I155" s="9"/>
    </row>
    <row r="156" spans="1:9" x14ac:dyDescent="0.3">
      <c r="A156" s="7"/>
      <c r="B156" s="8"/>
      <c r="C156" s="8"/>
      <c r="D156" s="8"/>
      <c r="E156" s="8"/>
      <c r="F156" s="8"/>
      <c r="G156" s="8"/>
      <c r="H156" s="8"/>
      <c r="I156" s="9"/>
    </row>
    <row r="157" spans="1:9" x14ac:dyDescent="0.3">
      <c r="A157" s="7"/>
      <c r="B157" s="8"/>
      <c r="C157" s="8"/>
      <c r="D157" s="8"/>
      <c r="E157" s="8"/>
      <c r="F157" s="8"/>
      <c r="G157" s="8"/>
      <c r="H157" s="8"/>
      <c r="I157" s="9"/>
    </row>
    <row r="158" spans="1:9" x14ac:dyDescent="0.3">
      <c r="A158" s="7"/>
      <c r="B158" s="8"/>
      <c r="C158" s="8"/>
      <c r="D158" s="8"/>
      <c r="E158" s="8"/>
      <c r="F158" s="8"/>
      <c r="G158" s="8"/>
      <c r="H158" s="8"/>
      <c r="I158" s="9"/>
    </row>
    <row r="159" spans="1:9" x14ac:dyDescent="0.3">
      <c r="A159" s="7"/>
      <c r="B159" s="8"/>
      <c r="C159" s="8"/>
      <c r="D159" s="8"/>
      <c r="E159" s="8"/>
      <c r="F159" s="8"/>
      <c r="G159" s="8"/>
      <c r="H159" s="8"/>
      <c r="I159" s="9"/>
    </row>
    <row r="160" spans="1:9" x14ac:dyDescent="0.3">
      <c r="A160" s="7"/>
      <c r="B160" s="8"/>
      <c r="C160" s="8"/>
      <c r="D160" s="8"/>
      <c r="E160" s="8"/>
      <c r="F160" s="8"/>
      <c r="G160" s="8"/>
      <c r="H160" s="8"/>
      <c r="I160" s="9"/>
    </row>
    <row r="161" spans="1:9" x14ac:dyDescent="0.3">
      <c r="A161" s="7"/>
      <c r="B161" s="8"/>
      <c r="C161" s="8"/>
      <c r="D161" s="8"/>
      <c r="E161" s="8"/>
      <c r="F161" s="8"/>
      <c r="G161" s="8"/>
      <c r="H161" s="8"/>
      <c r="I161" s="9"/>
    </row>
    <row r="162" spans="1:9" x14ac:dyDescent="0.3">
      <c r="A162" s="7"/>
      <c r="B162" s="8"/>
      <c r="C162" s="8"/>
      <c r="D162" s="8"/>
      <c r="E162" s="8"/>
      <c r="F162" s="8"/>
      <c r="G162" s="8"/>
      <c r="H162" s="8"/>
      <c r="I162" s="9"/>
    </row>
    <row r="163" spans="1:9" x14ac:dyDescent="0.3">
      <c r="A163" s="7"/>
      <c r="B163" s="8"/>
      <c r="C163" s="8"/>
      <c r="D163" s="8"/>
      <c r="E163" s="8"/>
      <c r="F163" s="8"/>
      <c r="G163" s="8"/>
      <c r="H163" s="8"/>
      <c r="I163" s="9"/>
    </row>
    <row r="164" spans="1:9" x14ac:dyDescent="0.3">
      <c r="A164" s="7"/>
      <c r="B164" s="8"/>
      <c r="C164" s="8"/>
      <c r="D164" s="8"/>
      <c r="E164" s="8"/>
      <c r="F164" s="8"/>
      <c r="G164" s="8"/>
      <c r="H164" s="8"/>
      <c r="I164" s="9"/>
    </row>
    <row r="165" spans="1:9" x14ac:dyDescent="0.3">
      <c r="A165" s="7"/>
      <c r="B165" s="8"/>
      <c r="C165" s="8"/>
      <c r="D165" s="8"/>
      <c r="E165" s="8"/>
      <c r="F165" s="8"/>
      <c r="G165" s="8"/>
      <c r="H165" s="8"/>
      <c r="I165" s="9"/>
    </row>
    <row r="166" spans="1:9" x14ac:dyDescent="0.3">
      <c r="A166" s="7"/>
      <c r="B166" s="8"/>
      <c r="C166" s="8"/>
      <c r="D166" s="8"/>
      <c r="E166" s="8"/>
      <c r="F166" s="8"/>
      <c r="G166" s="8"/>
      <c r="H166" s="8"/>
      <c r="I166" s="9"/>
    </row>
    <row r="167" spans="1:9" x14ac:dyDescent="0.3">
      <c r="A167" s="7"/>
      <c r="B167" s="8"/>
      <c r="C167" s="8"/>
      <c r="D167" s="8"/>
      <c r="E167" s="8"/>
      <c r="F167" s="8"/>
      <c r="G167" s="8"/>
      <c r="H167" s="8"/>
      <c r="I167" s="9"/>
    </row>
    <row r="168" spans="1:9" x14ac:dyDescent="0.3">
      <c r="A168" s="7"/>
      <c r="B168" s="8"/>
      <c r="C168" s="8"/>
      <c r="D168" s="8"/>
      <c r="E168" s="8"/>
      <c r="F168" s="8"/>
      <c r="G168" s="8"/>
      <c r="H168" s="8"/>
      <c r="I168" s="9"/>
    </row>
    <row r="169" spans="1:9" x14ac:dyDescent="0.3">
      <c r="A169" s="7"/>
      <c r="B169" s="8"/>
      <c r="C169" s="8"/>
      <c r="D169" s="8"/>
      <c r="E169" s="8"/>
      <c r="F169" s="8"/>
      <c r="G169" s="8"/>
      <c r="H169" s="8"/>
      <c r="I169" s="9"/>
    </row>
    <row r="170" spans="1:9" x14ac:dyDescent="0.3">
      <c r="A170" s="7"/>
      <c r="B170" s="8"/>
      <c r="C170" s="8"/>
      <c r="D170" s="8"/>
      <c r="E170" s="8"/>
      <c r="F170" s="8"/>
      <c r="G170" s="8"/>
      <c r="H170" s="8"/>
      <c r="I170" s="9"/>
    </row>
    <row r="171" spans="1:9" x14ac:dyDescent="0.3">
      <c r="A171" s="7"/>
      <c r="B171" s="8"/>
      <c r="C171" s="8"/>
      <c r="D171" s="8"/>
      <c r="E171" s="8"/>
      <c r="F171" s="8"/>
      <c r="G171" s="8"/>
      <c r="H171" s="8"/>
      <c r="I171" s="9"/>
    </row>
    <row r="172" spans="1:9" x14ac:dyDescent="0.3">
      <c r="A172" s="7"/>
      <c r="B172" s="8"/>
      <c r="C172" s="8"/>
      <c r="D172" s="8"/>
      <c r="E172" s="8"/>
      <c r="F172" s="8"/>
      <c r="G172" s="8"/>
      <c r="H172" s="8"/>
      <c r="I172" s="9"/>
    </row>
    <row r="173" spans="1:9" x14ac:dyDescent="0.3">
      <c r="A173" s="7"/>
      <c r="B173" s="8"/>
      <c r="C173" s="8"/>
      <c r="D173" s="8"/>
      <c r="E173" s="8"/>
      <c r="F173" s="8"/>
      <c r="G173" s="8"/>
      <c r="H173" s="8"/>
      <c r="I173" s="9"/>
    </row>
    <row r="174" spans="1:9" x14ac:dyDescent="0.3">
      <c r="A174" s="7"/>
      <c r="B174" s="8"/>
      <c r="C174" s="8"/>
      <c r="D174" s="8"/>
      <c r="E174" s="8"/>
      <c r="F174" s="8"/>
      <c r="G174" s="8"/>
      <c r="H174" s="8"/>
      <c r="I174" s="9"/>
    </row>
    <row r="175" spans="1:9" x14ac:dyDescent="0.3">
      <c r="A175" s="7"/>
      <c r="B175" s="8"/>
      <c r="C175" s="8"/>
      <c r="D175" s="8"/>
      <c r="E175" s="8"/>
      <c r="F175" s="8"/>
      <c r="G175" s="8"/>
      <c r="H175" s="8"/>
      <c r="I175" s="9"/>
    </row>
    <row r="176" spans="1:9" x14ac:dyDescent="0.3">
      <c r="A176" s="7"/>
      <c r="B176" s="8"/>
      <c r="C176" s="8"/>
      <c r="D176" s="8"/>
      <c r="E176" s="8"/>
      <c r="F176" s="8"/>
      <c r="G176" s="8"/>
      <c r="H176" s="8"/>
      <c r="I176" s="9"/>
    </row>
    <row r="177" spans="1:9" x14ac:dyDescent="0.3">
      <c r="A177" s="7"/>
      <c r="B177" s="8"/>
      <c r="C177" s="8"/>
      <c r="D177" s="8"/>
      <c r="E177" s="8"/>
      <c r="F177" s="8"/>
      <c r="G177" s="8"/>
      <c r="H177" s="8"/>
      <c r="I177" s="9"/>
    </row>
    <row r="178" spans="1:9" x14ac:dyDescent="0.3">
      <c r="A178" s="7"/>
      <c r="B178" s="8"/>
      <c r="C178" s="8"/>
      <c r="D178" s="8"/>
      <c r="E178" s="8"/>
      <c r="F178" s="8"/>
      <c r="G178" s="8"/>
      <c r="H178" s="8"/>
      <c r="I178" s="9"/>
    </row>
    <row r="179" spans="1:9" x14ac:dyDescent="0.3">
      <c r="A179" s="7"/>
      <c r="B179" s="8"/>
      <c r="C179" s="8"/>
      <c r="D179" s="8"/>
      <c r="E179" s="8"/>
      <c r="F179" s="8"/>
      <c r="G179" s="8"/>
      <c r="H179" s="8"/>
      <c r="I179" s="9"/>
    </row>
    <row r="180" spans="1:9" x14ac:dyDescent="0.3">
      <c r="A180" s="7"/>
      <c r="B180" s="8"/>
      <c r="C180" s="8"/>
      <c r="D180" s="8"/>
      <c r="E180" s="8"/>
      <c r="F180" s="8"/>
      <c r="G180" s="8"/>
      <c r="H180" s="8"/>
      <c r="I180" s="9"/>
    </row>
    <row r="181" spans="1:9" x14ac:dyDescent="0.3">
      <c r="A181" s="7"/>
      <c r="B181" s="8"/>
      <c r="C181" s="8"/>
      <c r="D181" s="8"/>
      <c r="E181" s="8"/>
      <c r="F181" s="8"/>
      <c r="G181" s="8"/>
      <c r="H181" s="8"/>
      <c r="I181" s="9"/>
    </row>
    <row r="182" spans="1:9" x14ac:dyDescent="0.3">
      <c r="A182" s="7"/>
      <c r="B182" s="8"/>
      <c r="C182" s="8"/>
      <c r="D182" s="8"/>
      <c r="E182" s="8"/>
      <c r="F182" s="8"/>
      <c r="G182" s="8"/>
      <c r="H182" s="8"/>
      <c r="I182" s="9"/>
    </row>
    <row r="183" spans="1:9" x14ac:dyDescent="0.3">
      <c r="A183" s="7"/>
      <c r="B183" s="8"/>
      <c r="C183" s="8"/>
      <c r="D183" s="8"/>
      <c r="E183" s="8"/>
      <c r="F183" s="8"/>
      <c r="G183" s="8"/>
      <c r="H183" s="8"/>
      <c r="I183" s="9"/>
    </row>
    <row r="184" spans="1:9" x14ac:dyDescent="0.3">
      <c r="A184" s="7"/>
      <c r="B184" s="8"/>
      <c r="C184" s="8"/>
      <c r="D184" s="8"/>
      <c r="E184" s="8"/>
      <c r="F184" s="8"/>
      <c r="G184" s="8"/>
      <c r="H184" s="8"/>
      <c r="I184" s="9"/>
    </row>
    <row r="185" spans="1:9" x14ac:dyDescent="0.3">
      <c r="A185" s="7"/>
      <c r="B185" s="8"/>
      <c r="C185" s="8"/>
      <c r="D185" s="8"/>
      <c r="E185" s="8"/>
      <c r="F185" s="8"/>
      <c r="G185" s="8"/>
      <c r="H185" s="8"/>
      <c r="I185" s="9"/>
    </row>
    <row r="186" spans="1:9" x14ac:dyDescent="0.3">
      <c r="A186" s="7"/>
      <c r="B186" s="8"/>
      <c r="C186" s="8"/>
      <c r="D186" s="8"/>
      <c r="E186" s="8"/>
      <c r="F186" s="8"/>
      <c r="G186" s="8"/>
      <c r="H186" s="8"/>
      <c r="I186" s="9"/>
    </row>
    <row r="187" spans="1:9" x14ac:dyDescent="0.3">
      <c r="A187" s="7"/>
      <c r="B187" s="8"/>
      <c r="C187" s="8"/>
      <c r="D187" s="8"/>
      <c r="E187" s="8"/>
      <c r="F187" s="8"/>
      <c r="G187" s="8"/>
      <c r="H187" s="8"/>
      <c r="I187" s="9"/>
    </row>
    <row r="188" spans="1:9" x14ac:dyDescent="0.3">
      <c r="A188" s="7"/>
      <c r="B188" s="8"/>
      <c r="C188" s="8"/>
      <c r="D188" s="8"/>
      <c r="E188" s="8"/>
      <c r="F188" s="8"/>
      <c r="G188" s="8"/>
      <c r="H188" s="8"/>
      <c r="I188" s="9"/>
    </row>
    <row r="189" spans="1:9" x14ac:dyDescent="0.3">
      <c r="A189" s="7"/>
      <c r="B189" s="8"/>
      <c r="C189" s="8"/>
      <c r="D189" s="8"/>
      <c r="E189" s="8"/>
      <c r="F189" s="8"/>
      <c r="G189" s="8"/>
      <c r="H189" s="8"/>
      <c r="I189" s="9"/>
    </row>
    <row r="190" spans="1:9" x14ac:dyDescent="0.3">
      <c r="A190" s="7"/>
      <c r="B190" s="8"/>
      <c r="C190" s="8"/>
      <c r="D190" s="8"/>
      <c r="E190" s="8"/>
      <c r="F190" s="8"/>
      <c r="G190" s="8"/>
      <c r="H190" s="8"/>
      <c r="I190" s="9"/>
    </row>
    <row r="191" spans="1:9" x14ac:dyDescent="0.3">
      <c r="A191" s="7"/>
      <c r="B191" s="8"/>
      <c r="C191" s="8"/>
      <c r="D191" s="8"/>
      <c r="E191" s="8"/>
      <c r="F191" s="8"/>
      <c r="G191" s="8"/>
      <c r="H191" s="8"/>
      <c r="I191" s="9"/>
    </row>
    <row r="192" spans="1:9" x14ac:dyDescent="0.3">
      <c r="A192" s="7"/>
      <c r="B192" s="8"/>
      <c r="C192" s="8"/>
      <c r="D192" s="8"/>
      <c r="E192" s="8"/>
      <c r="F192" s="8"/>
      <c r="G192" s="8"/>
      <c r="H192" s="8"/>
      <c r="I192" s="9"/>
    </row>
    <row r="193" spans="1:9" x14ac:dyDescent="0.3">
      <c r="A193" s="7"/>
      <c r="B193" s="8"/>
      <c r="C193" s="8"/>
      <c r="D193" s="8"/>
      <c r="E193" s="8"/>
      <c r="F193" s="8"/>
      <c r="G193" s="8"/>
      <c r="H193" s="8"/>
      <c r="I193" s="9"/>
    </row>
    <row r="194" spans="1:9" x14ac:dyDescent="0.3">
      <c r="A194" s="7"/>
      <c r="B194" s="8"/>
      <c r="C194" s="8"/>
      <c r="D194" s="8"/>
      <c r="E194" s="8"/>
      <c r="F194" s="8"/>
      <c r="G194" s="8"/>
      <c r="H194" s="8"/>
      <c r="I194" s="9"/>
    </row>
    <row r="195" spans="1:9" x14ac:dyDescent="0.3">
      <c r="A195" s="7"/>
      <c r="B195" s="8"/>
      <c r="C195" s="8"/>
      <c r="D195" s="8"/>
      <c r="E195" s="8"/>
      <c r="F195" s="8"/>
      <c r="G195" s="8"/>
      <c r="H195" s="8"/>
      <c r="I195" s="9"/>
    </row>
    <row r="196" spans="1:9" x14ac:dyDescent="0.3">
      <c r="A196" s="7"/>
      <c r="B196" s="8"/>
      <c r="C196" s="8"/>
      <c r="D196" s="8"/>
      <c r="E196" s="8"/>
      <c r="F196" s="8"/>
      <c r="G196" s="8"/>
      <c r="H196" s="8"/>
      <c r="I196" s="9"/>
    </row>
    <row r="197" spans="1:9" x14ac:dyDescent="0.3">
      <c r="A197" s="7"/>
      <c r="B197" s="8"/>
      <c r="C197" s="8"/>
      <c r="D197" s="8"/>
      <c r="E197" s="8"/>
      <c r="F197" s="8"/>
      <c r="G197" s="8"/>
      <c r="H197" s="8"/>
      <c r="I197" s="9"/>
    </row>
    <row r="198" spans="1:9" x14ac:dyDescent="0.3">
      <c r="A198" s="7"/>
      <c r="B198" s="8"/>
      <c r="C198" s="8"/>
      <c r="D198" s="8"/>
      <c r="E198" s="8"/>
      <c r="F198" s="8"/>
      <c r="G198" s="8"/>
      <c r="H198" s="8"/>
      <c r="I198" s="9"/>
    </row>
    <row r="199" spans="1:9" x14ac:dyDescent="0.3">
      <c r="A199" s="7"/>
      <c r="B199" s="8"/>
      <c r="C199" s="8"/>
      <c r="D199" s="8"/>
      <c r="E199" s="8"/>
      <c r="F199" s="8"/>
      <c r="G199" s="8"/>
      <c r="H199" s="8"/>
      <c r="I199" s="9"/>
    </row>
    <row r="200" spans="1:9" x14ac:dyDescent="0.3">
      <c r="A200" s="7"/>
      <c r="B200" s="8"/>
      <c r="C200" s="8"/>
      <c r="D200" s="8"/>
      <c r="E200" s="8"/>
      <c r="F200" s="8"/>
      <c r="G200" s="8"/>
      <c r="H200" s="8"/>
      <c r="I200" s="9"/>
    </row>
    <row r="201" spans="1:9" x14ac:dyDescent="0.3">
      <c r="A201" s="7"/>
      <c r="B201" s="8"/>
      <c r="C201" s="8"/>
      <c r="D201" s="8"/>
      <c r="E201" s="8"/>
      <c r="F201" s="8"/>
      <c r="G201" s="8"/>
      <c r="H201" s="8"/>
      <c r="I201" s="9"/>
    </row>
    <row r="202" spans="1:9" x14ac:dyDescent="0.3">
      <c r="A202" s="7"/>
      <c r="B202" s="8"/>
      <c r="C202" s="8"/>
      <c r="D202" s="8"/>
      <c r="E202" s="8"/>
      <c r="F202" s="8"/>
      <c r="G202" s="8"/>
      <c r="H202" s="8"/>
      <c r="I202" s="9"/>
    </row>
    <row r="203" spans="1:9" x14ac:dyDescent="0.3">
      <c r="A203" s="7"/>
      <c r="B203" s="8"/>
      <c r="C203" s="8"/>
      <c r="D203" s="8"/>
      <c r="E203" s="8"/>
      <c r="F203" s="8"/>
      <c r="G203" s="8"/>
      <c r="H203" s="8"/>
      <c r="I203" s="9"/>
    </row>
    <row r="204" spans="1:9" x14ac:dyDescent="0.3">
      <c r="A204" s="7"/>
      <c r="B204" s="8"/>
      <c r="C204" s="8"/>
      <c r="D204" s="8"/>
      <c r="E204" s="8"/>
      <c r="F204" s="8"/>
      <c r="G204" s="8"/>
      <c r="H204" s="8"/>
      <c r="I204" s="9"/>
    </row>
    <row r="205" spans="1:9" x14ac:dyDescent="0.3">
      <c r="A205" s="7"/>
      <c r="B205" s="8"/>
      <c r="C205" s="8"/>
      <c r="D205" s="8"/>
      <c r="E205" s="8"/>
      <c r="F205" s="8"/>
      <c r="G205" s="8"/>
      <c r="H205" s="8"/>
      <c r="I205" s="9"/>
    </row>
    <row r="206" spans="1:9" x14ac:dyDescent="0.3">
      <c r="A206" s="7"/>
      <c r="B206" s="8"/>
      <c r="C206" s="8"/>
      <c r="D206" s="8"/>
      <c r="E206" s="8"/>
      <c r="F206" s="8"/>
      <c r="G206" s="8"/>
      <c r="H206" s="8"/>
      <c r="I206" s="9"/>
    </row>
    <row r="207" spans="1:9" x14ac:dyDescent="0.3">
      <c r="A207" s="7"/>
      <c r="B207" s="8"/>
      <c r="C207" s="8"/>
      <c r="D207" s="8"/>
      <c r="E207" s="8"/>
      <c r="F207" s="8"/>
      <c r="G207" s="8"/>
      <c r="H207" s="8"/>
      <c r="I207" s="9"/>
    </row>
    <row r="208" spans="1:9" x14ac:dyDescent="0.3">
      <c r="A208" s="7"/>
      <c r="B208" s="8"/>
      <c r="C208" s="8"/>
      <c r="D208" s="8"/>
      <c r="E208" s="8"/>
      <c r="F208" s="8"/>
      <c r="G208" s="8"/>
      <c r="H208" s="8"/>
      <c r="I208" s="9"/>
    </row>
    <row r="209" spans="1:9" x14ac:dyDescent="0.3">
      <c r="A209" s="7"/>
      <c r="B209" s="8"/>
      <c r="C209" s="8"/>
      <c r="D209" s="8"/>
      <c r="E209" s="8"/>
      <c r="F209" s="8"/>
      <c r="G209" s="8"/>
      <c r="H209" s="8"/>
      <c r="I209" s="9"/>
    </row>
    <row r="210" spans="1:9" x14ac:dyDescent="0.3">
      <c r="A210" s="7"/>
      <c r="B210" s="8"/>
      <c r="C210" s="8"/>
      <c r="D210" s="8"/>
      <c r="E210" s="8"/>
      <c r="F210" s="8"/>
      <c r="G210" s="8"/>
      <c r="H210" s="8"/>
      <c r="I210" s="9"/>
    </row>
    <row r="211" spans="1:9" x14ac:dyDescent="0.3">
      <c r="A211" s="7"/>
      <c r="B211" s="8"/>
      <c r="C211" s="8"/>
      <c r="D211" s="8"/>
      <c r="E211" s="8"/>
      <c r="F211" s="8"/>
      <c r="G211" s="8"/>
      <c r="H211" s="8"/>
      <c r="I211" s="9"/>
    </row>
    <row r="212" spans="1:9" x14ac:dyDescent="0.3">
      <c r="A212" s="7"/>
      <c r="B212" s="8"/>
      <c r="C212" s="8"/>
      <c r="D212" s="8"/>
      <c r="E212" s="8"/>
      <c r="F212" s="8"/>
      <c r="G212" s="8"/>
      <c r="H212" s="8"/>
      <c r="I212" s="9"/>
    </row>
    <row r="213" spans="1:9" x14ac:dyDescent="0.3">
      <c r="A213" s="7"/>
      <c r="B213" s="8"/>
      <c r="C213" s="8"/>
      <c r="D213" s="8"/>
      <c r="E213" s="8"/>
      <c r="F213" s="8"/>
      <c r="G213" s="8"/>
      <c r="H213" s="8"/>
      <c r="I213" s="9"/>
    </row>
    <row r="214" spans="1:9" x14ac:dyDescent="0.3">
      <c r="A214" s="7"/>
      <c r="B214" s="8"/>
      <c r="C214" s="8"/>
      <c r="D214" s="8"/>
      <c r="E214" s="8"/>
      <c r="F214" s="8"/>
      <c r="G214" s="8"/>
      <c r="H214" s="8"/>
      <c r="I214" s="9"/>
    </row>
    <row r="215" spans="1:9" x14ac:dyDescent="0.3">
      <c r="A215" s="7"/>
      <c r="B215" s="8"/>
      <c r="C215" s="8"/>
      <c r="D215" s="8"/>
      <c r="E215" s="8"/>
      <c r="F215" s="8"/>
      <c r="G215" s="8"/>
      <c r="H215" s="8"/>
      <c r="I215" s="9"/>
    </row>
    <row r="216" spans="1:9" x14ac:dyDescent="0.3">
      <c r="A216" s="7"/>
      <c r="B216" s="8"/>
      <c r="C216" s="8"/>
      <c r="D216" s="8"/>
      <c r="E216" s="8"/>
      <c r="F216" s="8"/>
      <c r="G216" s="8"/>
      <c r="H216" s="8"/>
      <c r="I216" s="9"/>
    </row>
    <row r="217" spans="1:9" x14ac:dyDescent="0.3">
      <c r="A217" s="7"/>
      <c r="B217" s="8"/>
      <c r="C217" s="8"/>
      <c r="D217" s="8"/>
      <c r="E217" s="8"/>
      <c r="F217" s="8"/>
      <c r="G217" s="8"/>
      <c r="H217" s="8"/>
      <c r="I217" s="9"/>
    </row>
    <row r="218" spans="1:9" x14ac:dyDescent="0.3">
      <c r="A218" s="7"/>
      <c r="B218" s="8"/>
      <c r="C218" s="8"/>
      <c r="D218" s="8"/>
      <c r="E218" s="8"/>
      <c r="F218" s="8"/>
      <c r="G218" s="8"/>
      <c r="H218" s="8"/>
      <c r="I218" s="9"/>
    </row>
    <row r="219" spans="1:9" x14ac:dyDescent="0.3">
      <c r="A219" s="7"/>
      <c r="B219" s="8"/>
      <c r="C219" s="8"/>
      <c r="D219" s="8"/>
      <c r="E219" s="8"/>
      <c r="F219" s="8"/>
      <c r="G219" s="8"/>
      <c r="H219" s="8"/>
      <c r="I219" s="9"/>
    </row>
    <row r="220" spans="1:9" x14ac:dyDescent="0.3">
      <c r="A220" s="7"/>
      <c r="B220" s="8"/>
      <c r="C220" s="8"/>
      <c r="D220" s="8"/>
      <c r="E220" s="8"/>
      <c r="F220" s="8"/>
      <c r="G220" s="8"/>
      <c r="H220" s="8"/>
      <c r="I220" s="9"/>
    </row>
    <row r="221" spans="1:9" x14ac:dyDescent="0.3">
      <c r="A221" s="7"/>
      <c r="B221" s="8"/>
      <c r="C221" s="8"/>
      <c r="D221" s="8"/>
      <c r="E221" s="8"/>
      <c r="F221" s="8"/>
      <c r="G221" s="8"/>
      <c r="H221" s="8"/>
      <c r="I221" s="9"/>
    </row>
    <row r="222" spans="1:9" x14ac:dyDescent="0.3">
      <c r="A222" s="7"/>
      <c r="B222" s="8"/>
      <c r="C222" s="8"/>
      <c r="D222" s="8"/>
      <c r="E222" s="8"/>
      <c r="F222" s="8"/>
      <c r="G222" s="8"/>
      <c r="H222" s="8"/>
      <c r="I222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A3B53-6B5F-43B3-8384-0C08F13CA48D}">
  <dimension ref="A1:V89"/>
  <sheetViews>
    <sheetView tabSelected="1" zoomScale="80" zoomScaleNormal="80" workbookViewId="0">
      <pane ySplit="1" topLeftCell="A2" activePane="bottomLeft" state="frozen"/>
      <selection pane="bottomLeft" activeCell="A12" sqref="A12"/>
    </sheetView>
  </sheetViews>
  <sheetFormatPr defaultRowHeight="14.4" x14ac:dyDescent="0.3"/>
  <cols>
    <col min="1" max="1" width="21.5546875" customWidth="1"/>
    <col min="2" max="2" width="7.5546875" customWidth="1"/>
    <col min="3" max="3" width="6.77734375" customWidth="1"/>
    <col min="4" max="4" width="7.44140625" customWidth="1"/>
    <col min="5" max="5" width="6.5546875" customWidth="1"/>
    <col min="6" max="6" width="7.21875" customWidth="1"/>
    <col min="7" max="8" width="5.5546875" customWidth="1"/>
    <col min="9" max="9" width="7.5546875" customWidth="1"/>
    <col min="10" max="10" width="6.77734375" customWidth="1"/>
    <col min="11" max="11" width="7.21875" customWidth="1"/>
    <col min="12" max="12" width="7.44140625" customWidth="1"/>
    <col min="13" max="13" width="7" customWidth="1"/>
    <col min="14" max="14" width="8.44140625" customWidth="1"/>
    <col min="15" max="15" width="7.21875" customWidth="1"/>
    <col min="16" max="16" width="6.5546875" customWidth="1"/>
    <col min="17" max="17" width="6.21875" customWidth="1"/>
    <col min="18" max="18" width="5" customWidth="1"/>
    <col min="19" max="19" width="7.44140625" customWidth="1"/>
    <col min="20" max="20" width="6.88671875" customWidth="1"/>
    <col min="21" max="21" width="6.44140625" customWidth="1"/>
    <col min="22" max="22" width="9.109375" customWidth="1"/>
  </cols>
  <sheetData>
    <row r="1" spans="1:19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1" t="s">
        <v>9</v>
      </c>
      <c r="K1" s="32"/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  <c r="Q1" s="2" t="s">
        <v>6</v>
      </c>
      <c r="R1" s="2" t="s">
        <v>7</v>
      </c>
      <c r="S1" s="3" t="s">
        <v>8</v>
      </c>
    </row>
    <row r="2" spans="1:19" x14ac:dyDescent="0.3">
      <c r="A2" s="4" t="s">
        <v>186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/>
      <c r="K2" s="6"/>
      <c r="L2" s="5">
        <f>B2*$J2</f>
        <v>0</v>
      </c>
      <c r="M2" s="5">
        <f t="shared" ref="M2:S21" si="0">C2*$J2</f>
        <v>0</v>
      </c>
      <c r="N2" s="5">
        <f t="shared" si="0"/>
        <v>0</v>
      </c>
      <c r="O2" s="5">
        <f t="shared" si="0"/>
        <v>0</v>
      </c>
      <c r="P2" s="5">
        <f t="shared" si="0"/>
        <v>0</v>
      </c>
      <c r="Q2" s="5">
        <f t="shared" si="0"/>
        <v>0</v>
      </c>
      <c r="R2" s="5">
        <f t="shared" si="0"/>
        <v>0</v>
      </c>
      <c r="S2" s="5">
        <f t="shared" si="0"/>
        <v>0</v>
      </c>
    </row>
    <row r="3" spans="1:19" ht="22.5" customHeight="1" x14ac:dyDescent="0.3">
      <c r="A3" s="7" t="s">
        <v>182</v>
      </c>
      <c r="B3" s="8">
        <v>20</v>
      </c>
      <c r="C3" s="8">
        <v>2.5</v>
      </c>
      <c r="D3" s="8">
        <v>1.6</v>
      </c>
      <c r="E3" s="8">
        <v>1.4</v>
      </c>
      <c r="F3" s="8">
        <v>1</v>
      </c>
      <c r="G3" s="8">
        <v>0</v>
      </c>
      <c r="H3" s="8">
        <v>0.31</v>
      </c>
      <c r="I3" s="9">
        <v>105</v>
      </c>
      <c r="J3" s="10"/>
      <c r="L3" s="8">
        <f t="shared" ref="L3:L4" si="1">B3*$J3</f>
        <v>0</v>
      </c>
      <c r="M3" s="8">
        <f t="shared" si="0"/>
        <v>0</v>
      </c>
      <c r="N3" s="8">
        <f t="shared" si="0"/>
        <v>0</v>
      </c>
      <c r="O3" s="8">
        <f t="shared" si="0"/>
        <v>0</v>
      </c>
      <c r="P3" s="8">
        <f t="shared" si="0"/>
        <v>0</v>
      </c>
      <c r="Q3" s="8">
        <f t="shared" si="0"/>
        <v>0</v>
      </c>
      <c r="R3" s="8">
        <f t="shared" si="0"/>
        <v>0</v>
      </c>
      <c r="S3" s="9">
        <f t="shared" si="0"/>
        <v>0</v>
      </c>
    </row>
    <row r="4" spans="1:19" ht="25.2" customHeight="1" x14ac:dyDescent="0.3">
      <c r="A4" s="7" t="s">
        <v>181</v>
      </c>
      <c r="B4" s="8">
        <v>25</v>
      </c>
      <c r="C4" s="8">
        <v>2.2000000000000002</v>
      </c>
      <c r="D4" s="8">
        <v>1.2</v>
      </c>
      <c r="E4" s="8">
        <v>1</v>
      </c>
      <c r="F4" s="8">
        <v>0.3</v>
      </c>
      <c r="G4" s="8">
        <v>0</v>
      </c>
      <c r="H4" s="8">
        <v>0.37</v>
      </c>
      <c r="I4" s="9">
        <v>115</v>
      </c>
      <c r="J4" s="10"/>
      <c r="L4" s="8">
        <f t="shared" si="1"/>
        <v>0</v>
      </c>
      <c r="M4" s="8">
        <f t="shared" si="0"/>
        <v>0</v>
      </c>
      <c r="N4" s="8">
        <f t="shared" si="0"/>
        <v>0</v>
      </c>
      <c r="O4" s="8">
        <f t="shared" si="0"/>
        <v>0</v>
      </c>
      <c r="P4" s="8">
        <f t="shared" si="0"/>
        <v>0</v>
      </c>
      <c r="Q4" s="8">
        <f t="shared" si="0"/>
        <v>0</v>
      </c>
      <c r="R4" s="8">
        <f t="shared" si="0"/>
        <v>0</v>
      </c>
      <c r="S4" s="9">
        <f t="shared" si="0"/>
        <v>0</v>
      </c>
    </row>
    <row r="5" spans="1:19" x14ac:dyDescent="0.3">
      <c r="A5" s="4" t="s">
        <v>187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/>
      <c r="K5" s="6"/>
      <c r="L5" s="5">
        <f>B5*$J5</f>
        <v>0</v>
      </c>
      <c r="M5" s="5">
        <f t="shared" si="0"/>
        <v>0</v>
      </c>
      <c r="N5" s="5">
        <f t="shared" si="0"/>
        <v>0</v>
      </c>
      <c r="O5" s="5">
        <f t="shared" si="0"/>
        <v>0</v>
      </c>
      <c r="P5" s="5">
        <f t="shared" si="0"/>
        <v>0</v>
      </c>
      <c r="Q5" s="5">
        <f t="shared" si="0"/>
        <v>0</v>
      </c>
      <c r="R5" s="5">
        <f t="shared" si="0"/>
        <v>0</v>
      </c>
      <c r="S5" s="5">
        <f t="shared" si="0"/>
        <v>0</v>
      </c>
    </row>
    <row r="6" spans="1:19" x14ac:dyDescent="0.3">
      <c r="A6" s="7" t="s">
        <v>11</v>
      </c>
      <c r="B6" s="8">
        <v>0</v>
      </c>
      <c r="C6" s="8">
        <v>0</v>
      </c>
      <c r="D6" s="8">
        <v>0</v>
      </c>
      <c r="E6" s="8">
        <v>15</v>
      </c>
      <c r="F6" s="8">
        <v>2</v>
      </c>
      <c r="G6" s="8">
        <v>0</v>
      </c>
      <c r="H6" s="8">
        <v>0</v>
      </c>
      <c r="I6" s="9">
        <v>125</v>
      </c>
      <c r="J6" s="10"/>
      <c r="L6" s="8">
        <f t="shared" ref="L6:S15" si="2">B6*$J6</f>
        <v>0</v>
      </c>
      <c r="M6" s="8">
        <f t="shared" si="2"/>
        <v>0</v>
      </c>
      <c r="N6" s="8">
        <f t="shared" si="2"/>
        <v>0</v>
      </c>
      <c r="O6" s="8">
        <f t="shared" si="2"/>
        <v>0</v>
      </c>
      <c r="P6" s="8">
        <f t="shared" si="2"/>
        <v>0</v>
      </c>
      <c r="Q6" s="8">
        <f t="shared" si="2"/>
        <v>0</v>
      </c>
      <c r="R6" s="8">
        <f t="shared" si="2"/>
        <v>0</v>
      </c>
      <c r="S6" s="9">
        <f t="shared" si="2"/>
        <v>0</v>
      </c>
    </row>
    <row r="7" spans="1:19" x14ac:dyDescent="0.3">
      <c r="A7" s="7" t="s">
        <v>105</v>
      </c>
      <c r="B7" s="8">
        <v>0.5</v>
      </c>
      <c r="C7" s="8">
        <v>0.1</v>
      </c>
      <c r="D7" s="8">
        <v>0</v>
      </c>
      <c r="E7" s="8">
        <v>13</v>
      </c>
      <c r="F7" s="8">
        <v>2.2000000000000002</v>
      </c>
      <c r="G7" s="8">
        <v>3</v>
      </c>
      <c r="H7" s="8">
        <v>2.5</v>
      </c>
      <c r="I7" s="9">
        <v>129</v>
      </c>
      <c r="J7" s="10"/>
      <c r="L7" s="8">
        <f t="shared" si="2"/>
        <v>0</v>
      </c>
      <c r="M7" s="8">
        <f t="shared" si="2"/>
        <v>0</v>
      </c>
      <c r="N7" s="8">
        <f t="shared" si="2"/>
        <v>0</v>
      </c>
      <c r="O7" s="8">
        <f t="shared" si="2"/>
        <v>0</v>
      </c>
      <c r="P7" s="8">
        <f t="shared" si="2"/>
        <v>0</v>
      </c>
      <c r="Q7" s="8">
        <f t="shared" si="2"/>
        <v>0</v>
      </c>
      <c r="R7" s="8">
        <f t="shared" si="2"/>
        <v>0</v>
      </c>
      <c r="S7" s="9">
        <f t="shared" si="2"/>
        <v>0</v>
      </c>
    </row>
    <row r="8" spans="1:19" x14ac:dyDescent="0.3">
      <c r="A8" s="30" t="s">
        <v>27</v>
      </c>
      <c r="B8" s="8">
        <v>1.5</v>
      </c>
      <c r="C8" s="8">
        <v>6.5</v>
      </c>
      <c r="D8" s="8">
        <v>0</v>
      </c>
      <c r="E8" s="8">
        <v>11.3</v>
      </c>
      <c r="F8" s="8">
        <v>1.6</v>
      </c>
      <c r="G8" s="8">
        <v>5</v>
      </c>
      <c r="H8" s="8">
        <v>1E-3</v>
      </c>
      <c r="I8" s="9">
        <v>120</v>
      </c>
      <c r="J8" s="10"/>
      <c r="L8" s="8">
        <f>B8*$J8</f>
        <v>0</v>
      </c>
      <c r="M8" s="8">
        <f t="shared" si="2"/>
        <v>0</v>
      </c>
      <c r="N8" s="8">
        <f t="shared" si="2"/>
        <v>0</v>
      </c>
      <c r="O8" s="8">
        <f t="shared" si="2"/>
        <v>0</v>
      </c>
      <c r="P8" s="8">
        <f t="shared" si="2"/>
        <v>0</v>
      </c>
      <c r="Q8" s="8">
        <f t="shared" si="2"/>
        <v>0</v>
      </c>
      <c r="R8" s="8">
        <f t="shared" si="2"/>
        <v>0</v>
      </c>
      <c r="S8" s="9">
        <f t="shared" si="2"/>
        <v>0</v>
      </c>
    </row>
    <row r="9" spans="1:19" x14ac:dyDescent="0.3">
      <c r="A9" s="7" t="s">
        <v>156</v>
      </c>
      <c r="B9" s="8">
        <v>2.4</v>
      </c>
      <c r="C9" s="8">
        <v>3.64</v>
      </c>
      <c r="D9" s="8">
        <v>0</v>
      </c>
      <c r="E9" s="8">
        <v>18.72</v>
      </c>
      <c r="F9" s="8">
        <v>2.6</v>
      </c>
      <c r="G9" s="8">
        <v>2.5</v>
      </c>
      <c r="H9" s="8">
        <v>0.01</v>
      </c>
      <c r="I9" s="9">
        <v>197.6</v>
      </c>
      <c r="J9" s="10"/>
      <c r="L9" s="8">
        <f>B9*$J9</f>
        <v>0</v>
      </c>
      <c r="M9" s="8">
        <f t="shared" si="2"/>
        <v>0</v>
      </c>
      <c r="N9" s="8">
        <f t="shared" si="2"/>
        <v>0</v>
      </c>
      <c r="O9" s="8">
        <f t="shared" si="2"/>
        <v>0</v>
      </c>
      <c r="P9" s="8">
        <f t="shared" si="2"/>
        <v>0</v>
      </c>
      <c r="Q9" s="8">
        <f t="shared" si="2"/>
        <v>0</v>
      </c>
      <c r="R9" s="8">
        <f t="shared" si="2"/>
        <v>0</v>
      </c>
      <c r="S9" s="9">
        <f t="shared" si="2"/>
        <v>0</v>
      </c>
    </row>
    <row r="10" spans="1:19" ht="13.8" customHeight="1" x14ac:dyDescent="0.3">
      <c r="A10" s="7" t="s">
        <v>45</v>
      </c>
      <c r="B10" s="8">
        <v>4.3600000000000003</v>
      </c>
      <c r="C10" s="8">
        <v>2.74</v>
      </c>
      <c r="D10" s="8">
        <v>0.55000000000000004</v>
      </c>
      <c r="E10" s="8">
        <v>16.260000000000002</v>
      </c>
      <c r="F10" s="8">
        <v>1.44</v>
      </c>
      <c r="G10" s="8">
        <v>1.33</v>
      </c>
      <c r="H10" s="8">
        <v>5.0000000000000001E-3</v>
      </c>
      <c r="I10" s="9">
        <v>177.5</v>
      </c>
      <c r="J10" s="10"/>
      <c r="L10" s="8">
        <f t="shared" ref="L10:S11" si="3">B10*$J10</f>
        <v>0</v>
      </c>
      <c r="M10" s="8">
        <f t="shared" si="3"/>
        <v>0</v>
      </c>
      <c r="N10" s="8">
        <f t="shared" si="3"/>
        <v>0</v>
      </c>
      <c r="O10" s="8">
        <f t="shared" si="3"/>
        <v>0</v>
      </c>
      <c r="P10" s="8">
        <f t="shared" si="3"/>
        <v>0</v>
      </c>
      <c r="Q10" s="8">
        <f t="shared" si="3"/>
        <v>0</v>
      </c>
      <c r="R10" s="8">
        <f t="shared" si="3"/>
        <v>0</v>
      </c>
      <c r="S10" s="9">
        <f t="shared" si="3"/>
        <v>0</v>
      </c>
    </row>
    <row r="11" spans="1:19" ht="26.4" customHeight="1" x14ac:dyDescent="0.3">
      <c r="A11" s="7" t="s">
        <v>46</v>
      </c>
      <c r="B11" s="8">
        <v>5.6</v>
      </c>
      <c r="C11" s="8">
        <v>2.7</v>
      </c>
      <c r="D11" s="8">
        <v>1.2</v>
      </c>
      <c r="E11" s="8">
        <v>17</v>
      </c>
      <c r="F11" s="8">
        <v>1.8</v>
      </c>
      <c r="G11" s="8">
        <v>2.1</v>
      </c>
      <c r="H11" s="8">
        <v>0</v>
      </c>
      <c r="I11" s="9">
        <v>193</v>
      </c>
      <c r="J11" s="10"/>
      <c r="L11" s="8">
        <f t="shared" si="3"/>
        <v>0</v>
      </c>
      <c r="M11" s="8">
        <f t="shared" si="3"/>
        <v>0</v>
      </c>
      <c r="N11" s="8">
        <f t="shared" si="3"/>
        <v>0</v>
      </c>
      <c r="O11" s="8">
        <f t="shared" si="3"/>
        <v>0</v>
      </c>
      <c r="P11" s="8">
        <f t="shared" si="3"/>
        <v>0</v>
      </c>
      <c r="Q11" s="8">
        <f t="shared" si="3"/>
        <v>0</v>
      </c>
      <c r="R11" s="8">
        <f t="shared" si="3"/>
        <v>0</v>
      </c>
      <c r="S11" s="9">
        <f t="shared" si="3"/>
        <v>0</v>
      </c>
    </row>
    <row r="12" spans="1:19" ht="26.4" customHeight="1" x14ac:dyDescent="0.3">
      <c r="A12" s="24" t="s">
        <v>188</v>
      </c>
      <c r="B12" s="8"/>
      <c r="C12" s="8"/>
      <c r="D12" s="8"/>
      <c r="E12" s="8"/>
      <c r="F12" s="8"/>
      <c r="G12" s="8"/>
      <c r="H12" s="8"/>
      <c r="I12" s="9"/>
      <c r="J12" s="10"/>
      <c r="L12" s="8">
        <f t="shared" ref="L12:S12" si="4">B12*$J12</f>
        <v>0</v>
      </c>
      <c r="M12" s="8">
        <f t="shared" si="4"/>
        <v>0</v>
      </c>
      <c r="N12" s="8">
        <f t="shared" si="4"/>
        <v>0</v>
      </c>
      <c r="O12" s="8">
        <f t="shared" si="4"/>
        <v>0</v>
      </c>
      <c r="P12" s="8">
        <f t="shared" si="4"/>
        <v>0</v>
      </c>
      <c r="Q12" s="8">
        <f t="shared" si="4"/>
        <v>0</v>
      </c>
      <c r="R12" s="8">
        <f t="shared" si="4"/>
        <v>0</v>
      </c>
      <c r="S12" s="9">
        <f t="shared" si="4"/>
        <v>0</v>
      </c>
    </row>
    <row r="13" spans="1:19" x14ac:dyDescent="0.3">
      <c r="A13" s="24" t="s">
        <v>189</v>
      </c>
      <c r="B13" s="8"/>
      <c r="C13" s="8"/>
      <c r="D13" s="8"/>
      <c r="E13" s="8"/>
      <c r="F13" s="8"/>
      <c r="G13" s="8"/>
      <c r="H13" s="8"/>
      <c r="I13" s="9"/>
      <c r="J13" s="10"/>
      <c r="L13" s="8">
        <f>B13*$J13</f>
        <v>0</v>
      </c>
      <c r="M13" s="8">
        <f t="shared" si="2"/>
        <v>0</v>
      </c>
      <c r="N13" s="8">
        <f t="shared" si="2"/>
        <v>0</v>
      </c>
      <c r="O13" s="8">
        <f t="shared" si="2"/>
        <v>0</v>
      </c>
      <c r="P13" s="8">
        <f t="shared" si="2"/>
        <v>0</v>
      </c>
      <c r="Q13" s="8">
        <f t="shared" si="2"/>
        <v>0</v>
      </c>
      <c r="R13" s="8">
        <f t="shared" si="2"/>
        <v>0</v>
      </c>
      <c r="S13" s="9">
        <f t="shared" si="2"/>
        <v>0</v>
      </c>
    </row>
    <row r="14" spans="1:19" x14ac:dyDescent="0.3">
      <c r="A14" s="4" t="s">
        <v>190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/>
      <c r="K14" s="6"/>
      <c r="L14" s="5">
        <f>B14*$J14</f>
        <v>0</v>
      </c>
      <c r="M14" s="5">
        <f t="shared" si="2"/>
        <v>0</v>
      </c>
      <c r="N14" s="5">
        <f t="shared" si="2"/>
        <v>0</v>
      </c>
      <c r="O14" s="5">
        <f t="shared" si="2"/>
        <v>0</v>
      </c>
      <c r="P14" s="5">
        <f t="shared" si="2"/>
        <v>0</v>
      </c>
      <c r="Q14" s="5">
        <f t="shared" si="2"/>
        <v>0</v>
      </c>
      <c r="R14" s="5">
        <f t="shared" si="2"/>
        <v>0</v>
      </c>
      <c r="S14" s="5">
        <f t="shared" si="2"/>
        <v>0</v>
      </c>
    </row>
    <row r="15" spans="1:19" x14ac:dyDescent="0.3">
      <c r="A15" s="7" t="s">
        <v>13</v>
      </c>
      <c r="B15" s="8">
        <v>0.8</v>
      </c>
      <c r="C15" s="8">
        <v>4</v>
      </c>
      <c r="D15" s="8">
        <v>1</v>
      </c>
      <c r="E15" s="8">
        <v>1</v>
      </c>
      <c r="F15" s="8">
        <v>0.1</v>
      </c>
      <c r="G15" s="8">
        <v>1</v>
      </c>
      <c r="H15" s="8">
        <v>0.4</v>
      </c>
      <c r="I15" s="9">
        <v>27</v>
      </c>
      <c r="J15" s="10"/>
      <c r="L15" s="8">
        <f>B15*$J15</f>
        <v>0</v>
      </c>
      <c r="M15" s="8">
        <f t="shared" si="2"/>
        <v>0</v>
      </c>
      <c r="N15" s="8">
        <f t="shared" si="2"/>
        <v>0</v>
      </c>
      <c r="O15" s="8">
        <f t="shared" si="2"/>
        <v>0</v>
      </c>
      <c r="P15" s="8">
        <f t="shared" si="2"/>
        <v>0</v>
      </c>
      <c r="Q15" s="8">
        <f t="shared" si="2"/>
        <v>0</v>
      </c>
      <c r="R15" s="8">
        <f t="shared" si="2"/>
        <v>0</v>
      </c>
      <c r="S15" s="9">
        <f t="shared" si="2"/>
        <v>0</v>
      </c>
    </row>
    <row r="16" spans="1:19" x14ac:dyDescent="0.3">
      <c r="A16" s="7" t="s">
        <v>26</v>
      </c>
      <c r="B16" s="8">
        <v>0.8</v>
      </c>
      <c r="C16" s="8">
        <v>3.9</v>
      </c>
      <c r="D16" s="8">
        <v>1.6</v>
      </c>
      <c r="E16" s="8">
        <v>0.7</v>
      </c>
      <c r="F16" s="8">
        <v>0.1</v>
      </c>
      <c r="G16" s="8">
        <v>1.1000000000000001</v>
      </c>
      <c r="H16" s="8">
        <v>0.39</v>
      </c>
      <c r="I16" s="9">
        <v>27</v>
      </c>
      <c r="J16" s="10"/>
      <c r="L16" s="8">
        <f t="shared" ref="L16:S19" si="5">B16*$J16</f>
        <v>0</v>
      </c>
      <c r="M16" s="8">
        <f t="shared" si="5"/>
        <v>0</v>
      </c>
      <c r="N16" s="8">
        <f t="shared" si="5"/>
        <v>0</v>
      </c>
      <c r="O16" s="8">
        <f t="shared" si="5"/>
        <v>0</v>
      </c>
      <c r="P16" s="8">
        <f t="shared" si="5"/>
        <v>0</v>
      </c>
      <c r="Q16" s="8">
        <f t="shared" si="5"/>
        <v>0</v>
      </c>
      <c r="R16" s="8">
        <f t="shared" si="5"/>
        <v>0</v>
      </c>
      <c r="S16" s="9">
        <f t="shared" si="5"/>
        <v>0</v>
      </c>
    </row>
    <row r="17" spans="1:19" x14ac:dyDescent="0.3">
      <c r="A17" s="7" t="s">
        <v>28</v>
      </c>
      <c r="B17" s="8">
        <v>0.67</v>
      </c>
      <c r="C17" s="8">
        <v>0.34</v>
      </c>
      <c r="D17" s="8">
        <v>0</v>
      </c>
      <c r="E17" s="8">
        <v>0.18</v>
      </c>
      <c r="F17" s="8">
        <v>0</v>
      </c>
      <c r="G17" s="8">
        <v>0.52</v>
      </c>
      <c r="H17" s="8">
        <v>0.01</v>
      </c>
      <c r="I17" s="9">
        <v>5.6</v>
      </c>
      <c r="J17" s="10"/>
      <c r="L17" s="8">
        <f>B17*$J17</f>
        <v>0</v>
      </c>
      <c r="M17" s="8">
        <f t="shared" si="5"/>
        <v>0</v>
      </c>
      <c r="N17" s="8">
        <f t="shared" si="5"/>
        <v>0</v>
      </c>
      <c r="O17" s="8">
        <f t="shared" si="5"/>
        <v>0</v>
      </c>
      <c r="P17" s="8">
        <f t="shared" si="5"/>
        <v>0</v>
      </c>
      <c r="Q17" s="8">
        <f t="shared" si="5"/>
        <v>0</v>
      </c>
      <c r="R17" s="8">
        <f t="shared" si="5"/>
        <v>0</v>
      </c>
      <c r="S17" s="9">
        <f t="shared" si="5"/>
        <v>0</v>
      </c>
    </row>
    <row r="18" spans="1:19" x14ac:dyDescent="0.3">
      <c r="A18" s="7" t="s">
        <v>15</v>
      </c>
      <c r="B18" s="8">
        <v>0.36</v>
      </c>
      <c r="C18" s="8">
        <v>7.0000000000000007E-2</v>
      </c>
      <c r="D18" s="8">
        <v>0</v>
      </c>
      <c r="E18" s="8">
        <v>0.08</v>
      </c>
      <c r="F18" s="8">
        <v>0</v>
      </c>
      <c r="G18" s="8">
        <v>0.21</v>
      </c>
      <c r="H18" s="8">
        <v>1.2999999999999999E-2</v>
      </c>
      <c r="I18" s="9">
        <v>11.8</v>
      </c>
      <c r="J18" s="10"/>
      <c r="L18" s="8">
        <f t="shared" si="5"/>
        <v>0</v>
      </c>
      <c r="M18" s="8">
        <f t="shared" si="5"/>
        <v>0</v>
      </c>
      <c r="N18" s="8">
        <f t="shared" si="5"/>
        <v>0</v>
      </c>
      <c r="O18" s="8">
        <f t="shared" si="5"/>
        <v>0</v>
      </c>
      <c r="P18" s="8">
        <f t="shared" si="5"/>
        <v>0</v>
      </c>
      <c r="Q18" s="8">
        <f t="shared" si="5"/>
        <v>0</v>
      </c>
      <c r="R18" s="8">
        <f t="shared" si="5"/>
        <v>0</v>
      </c>
      <c r="S18" s="9">
        <f t="shared" si="5"/>
        <v>0</v>
      </c>
    </row>
    <row r="19" spans="1:19" ht="24" x14ac:dyDescent="0.3">
      <c r="A19" s="7" t="s">
        <v>14</v>
      </c>
      <c r="B19" s="8">
        <v>0.75</v>
      </c>
      <c r="C19" s="8">
        <v>3.25</v>
      </c>
      <c r="D19" s="8">
        <v>0</v>
      </c>
      <c r="E19" s="8">
        <v>0.2</v>
      </c>
      <c r="F19" s="8">
        <v>0</v>
      </c>
      <c r="G19" s="8">
        <v>1</v>
      </c>
      <c r="H19" s="8">
        <v>0.01</v>
      </c>
      <c r="I19" s="9">
        <v>15</v>
      </c>
      <c r="J19" s="10"/>
      <c r="L19" s="8">
        <f>B19*$J19</f>
        <v>0</v>
      </c>
      <c r="M19" s="8">
        <f t="shared" si="5"/>
        <v>0</v>
      </c>
      <c r="N19" s="8">
        <f t="shared" si="5"/>
        <v>0</v>
      </c>
      <c r="O19" s="8">
        <f t="shared" si="5"/>
        <v>0</v>
      </c>
      <c r="P19" s="8">
        <f t="shared" si="5"/>
        <v>0</v>
      </c>
      <c r="Q19" s="8">
        <f t="shared" si="5"/>
        <v>0</v>
      </c>
      <c r="R19" s="8">
        <f t="shared" si="5"/>
        <v>0</v>
      </c>
      <c r="S19" s="9">
        <f t="shared" si="5"/>
        <v>0</v>
      </c>
    </row>
    <row r="20" spans="1:19" x14ac:dyDescent="0.3">
      <c r="A20" s="7" t="s">
        <v>29</v>
      </c>
      <c r="B20" s="8">
        <v>2</v>
      </c>
      <c r="C20" s="8">
        <v>3</v>
      </c>
      <c r="D20" s="8">
        <v>0</v>
      </c>
      <c r="E20" s="8">
        <v>0</v>
      </c>
      <c r="F20" s="8">
        <v>0</v>
      </c>
      <c r="G20" s="8">
        <v>3.3</v>
      </c>
      <c r="H20" s="8">
        <v>0</v>
      </c>
      <c r="I20" s="9">
        <v>30</v>
      </c>
      <c r="J20" s="10"/>
      <c r="L20" s="8">
        <f t="shared" ref="L20:S35" si="6">B20*$J20</f>
        <v>0</v>
      </c>
      <c r="M20" s="8">
        <f t="shared" si="0"/>
        <v>0</v>
      </c>
      <c r="N20" s="8">
        <f t="shared" si="0"/>
        <v>0</v>
      </c>
      <c r="O20" s="8">
        <f t="shared" si="0"/>
        <v>0</v>
      </c>
      <c r="P20" s="8">
        <f t="shared" si="0"/>
        <v>0</v>
      </c>
      <c r="Q20" s="8">
        <f t="shared" si="0"/>
        <v>0</v>
      </c>
      <c r="R20" s="8">
        <f t="shared" si="0"/>
        <v>0</v>
      </c>
      <c r="S20" s="9">
        <f t="shared" si="0"/>
        <v>0</v>
      </c>
    </row>
    <row r="21" spans="1:19" x14ac:dyDescent="0.3">
      <c r="A21" s="7" t="s">
        <v>30</v>
      </c>
      <c r="B21" s="8">
        <v>1.3</v>
      </c>
      <c r="C21" s="8">
        <v>7</v>
      </c>
      <c r="D21" s="8">
        <v>0</v>
      </c>
      <c r="E21" s="8">
        <v>0.5</v>
      </c>
      <c r="F21" s="8">
        <v>0.5</v>
      </c>
      <c r="G21" s="8">
        <v>0</v>
      </c>
      <c r="H21" s="8">
        <v>0.34</v>
      </c>
      <c r="I21" s="9">
        <v>41</v>
      </c>
      <c r="J21" s="10"/>
      <c r="L21" s="8">
        <f t="shared" si="6"/>
        <v>0</v>
      </c>
      <c r="M21" s="8">
        <f t="shared" si="0"/>
        <v>0</v>
      </c>
      <c r="N21" s="8">
        <f t="shared" si="0"/>
        <v>0</v>
      </c>
      <c r="O21" s="8">
        <f t="shared" si="0"/>
        <v>0</v>
      </c>
      <c r="P21" s="8">
        <f t="shared" si="0"/>
        <v>0</v>
      </c>
      <c r="Q21" s="8">
        <f t="shared" si="0"/>
        <v>0</v>
      </c>
      <c r="R21" s="8">
        <f t="shared" si="0"/>
        <v>0</v>
      </c>
      <c r="S21" s="9">
        <f t="shared" si="0"/>
        <v>0</v>
      </c>
    </row>
    <row r="22" spans="1:19" x14ac:dyDescent="0.3">
      <c r="A22" s="4" t="s">
        <v>191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/>
      <c r="K22" s="6"/>
      <c r="L22" s="5">
        <f>B22*$J22</f>
        <v>0</v>
      </c>
      <c r="M22" s="5">
        <f t="shared" ref="M22:S24" si="7">C22*$J22</f>
        <v>0</v>
      </c>
      <c r="N22" s="5">
        <f t="shared" si="7"/>
        <v>0</v>
      </c>
      <c r="O22" s="5">
        <f t="shared" si="7"/>
        <v>0</v>
      </c>
      <c r="P22" s="5">
        <f t="shared" si="7"/>
        <v>0</v>
      </c>
      <c r="Q22" s="5">
        <f t="shared" si="7"/>
        <v>0</v>
      </c>
      <c r="R22" s="5">
        <f t="shared" si="7"/>
        <v>0</v>
      </c>
      <c r="S22" s="5">
        <f t="shared" si="7"/>
        <v>0</v>
      </c>
    </row>
    <row r="23" spans="1:19" ht="24" x14ac:dyDescent="0.3">
      <c r="A23" s="11" t="s">
        <v>18</v>
      </c>
      <c r="B23" s="8">
        <v>1.6</v>
      </c>
      <c r="C23" s="8">
        <v>6.2</v>
      </c>
      <c r="D23" s="8">
        <v>0</v>
      </c>
      <c r="E23" s="8">
        <v>3.1</v>
      </c>
      <c r="F23" s="8">
        <v>0.3</v>
      </c>
      <c r="G23" s="8">
        <v>3.7</v>
      </c>
      <c r="H23" s="8">
        <v>5.0000000000000001E-3</v>
      </c>
      <c r="I23" s="9">
        <v>44</v>
      </c>
      <c r="J23" s="10"/>
      <c r="L23" s="8">
        <f>B23*$J23</f>
        <v>0</v>
      </c>
      <c r="M23" s="8">
        <f t="shared" si="7"/>
        <v>0</v>
      </c>
      <c r="N23" s="8">
        <f t="shared" si="7"/>
        <v>0</v>
      </c>
      <c r="O23" s="8">
        <f t="shared" si="7"/>
        <v>0</v>
      </c>
      <c r="P23" s="8">
        <f t="shared" si="7"/>
        <v>0</v>
      </c>
      <c r="Q23" s="8">
        <f t="shared" si="7"/>
        <v>0</v>
      </c>
      <c r="R23" s="8">
        <f t="shared" si="7"/>
        <v>0</v>
      </c>
      <c r="S23" s="9">
        <f t="shared" si="7"/>
        <v>0</v>
      </c>
    </row>
    <row r="24" spans="1:19" ht="24" x14ac:dyDescent="0.3">
      <c r="A24" s="7" t="s">
        <v>19</v>
      </c>
      <c r="B24" s="8">
        <v>2.0699999999999998</v>
      </c>
      <c r="C24" s="8">
        <v>4.74</v>
      </c>
      <c r="D24" s="8">
        <v>0.08</v>
      </c>
      <c r="E24" s="8">
        <v>0.96</v>
      </c>
      <c r="F24" s="8">
        <v>0.15</v>
      </c>
      <c r="G24" s="8">
        <v>0.96</v>
      </c>
      <c r="H24" s="8">
        <v>0.05</v>
      </c>
      <c r="I24" s="9">
        <v>37.799999999999997</v>
      </c>
      <c r="J24" s="10"/>
      <c r="L24" s="8">
        <f t="shared" si="6"/>
        <v>0</v>
      </c>
      <c r="M24" s="8">
        <f t="shared" si="7"/>
        <v>0</v>
      </c>
      <c r="N24" s="8">
        <f t="shared" si="7"/>
        <v>0</v>
      </c>
      <c r="O24" s="8">
        <f t="shared" si="7"/>
        <v>0</v>
      </c>
      <c r="P24" s="8">
        <f t="shared" si="7"/>
        <v>0</v>
      </c>
      <c r="Q24" s="8">
        <f t="shared" si="7"/>
        <v>0</v>
      </c>
      <c r="R24" s="8">
        <f t="shared" si="7"/>
        <v>0</v>
      </c>
      <c r="S24" s="9">
        <f t="shared" si="7"/>
        <v>0</v>
      </c>
    </row>
    <row r="25" spans="1:19" x14ac:dyDescent="0.3">
      <c r="A25" s="7" t="s">
        <v>20</v>
      </c>
      <c r="B25" s="8">
        <v>1.1000000000000001</v>
      </c>
      <c r="C25" s="8">
        <v>15</v>
      </c>
      <c r="D25" s="8">
        <v>0</v>
      </c>
      <c r="E25" s="8">
        <v>0.5</v>
      </c>
      <c r="F25" s="8">
        <v>0</v>
      </c>
      <c r="G25" s="8">
        <v>3</v>
      </c>
      <c r="H25" s="8">
        <v>3.0000000000000001E-3</v>
      </c>
      <c r="I25" s="9">
        <v>61</v>
      </c>
      <c r="J25" s="10"/>
      <c r="L25" s="8">
        <f t="shared" si="6"/>
        <v>0</v>
      </c>
      <c r="M25" s="8">
        <f t="shared" si="6"/>
        <v>0</v>
      </c>
      <c r="N25" s="8">
        <f t="shared" si="6"/>
        <v>0</v>
      </c>
      <c r="O25" s="8">
        <f t="shared" si="6"/>
        <v>0</v>
      </c>
      <c r="P25" s="8">
        <f t="shared" si="6"/>
        <v>0</v>
      </c>
      <c r="Q25" s="8">
        <f t="shared" si="6"/>
        <v>0</v>
      </c>
      <c r="R25" s="8">
        <f t="shared" si="6"/>
        <v>0</v>
      </c>
      <c r="S25" s="9">
        <f t="shared" si="6"/>
        <v>0</v>
      </c>
    </row>
    <row r="26" spans="1:19" ht="24" x14ac:dyDescent="0.3">
      <c r="A26" s="7" t="s">
        <v>23</v>
      </c>
      <c r="B26" s="8">
        <v>1.9</v>
      </c>
      <c r="C26" s="8">
        <v>1.3</v>
      </c>
      <c r="D26" s="8">
        <v>0.95</v>
      </c>
      <c r="E26" s="8">
        <v>3.1</v>
      </c>
      <c r="F26" s="8">
        <v>0.03</v>
      </c>
      <c r="G26" s="8">
        <v>3.5</v>
      </c>
      <c r="H26" s="8">
        <v>1E-3</v>
      </c>
      <c r="I26" s="9">
        <v>47.7</v>
      </c>
      <c r="J26" s="10"/>
      <c r="L26" s="8">
        <f t="shared" si="6"/>
        <v>0</v>
      </c>
      <c r="M26" s="8">
        <f t="shared" si="6"/>
        <v>0</v>
      </c>
      <c r="N26" s="8">
        <f t="shared" si="6"/>
        <v>0</v>
      </c>
      <c r="O26" s="8">
        <f t="shared" si="6"/>
        <v>0</v>
      </c>
      <c r="P26" s="8">
        <f t="shared" si="6"/>
        <v>0</v>
      </c>
      <c r="Q26" s="8">
        <f t="shared" si="6"/>
        <v>0</v>
      </c>
      <c r="R26" s="8">
        <f t="shared" si="6"/>
        <v>0</v>
      </c>
      <c r="S26" s="9">
        <f t="shared" si="6"/>
        <v>0</v>
      </c>
    </row>
    <row r="27" spans="1:19" ht="24" x14ac:dyDescent="0.3">
      <c r="A27" s="7" t="s">
        <v>47</v>
      </c>
      <c r="B27" s="8">
        <v>3.5</v>
      </c>
      <c r="C27" s="8">
        <v>2.2000000000000002</v>
      </c>
      <c r="D27" s="8">
        <v>0</v>
      </c>
      <c r="E27" s="8">
        <v>4.5</v>
      </c>
      <c r="F27" s="8">
        <v>0.88</v>
      </c>
      <c r="G27" s="8">
        <v>0.79</v>
      </c>
      <c r="H27" s="8">
        <v>3.0000000000000001E-3</v>
      </c>
      <c r="I27" s="9">
        <v>56.9</v>
      </c>
      <c r="J27" s="10"/>
      <c r="L27" s="8">
        <f t="shared" si="6"/>
        <v>0</v>
      </c>
      <c r="M27" s="8">
        <f t="shared" si="6"/>
        <v>0</v>
      </c>
      <c r="N27" s="8">
        <f t="shared" si="6"/>
        <v>0</v>
      </c>
      <c r="O27" s="8">
        <f t="shared" si="6"/>
        <v>0</v>
      </c>
      <c r="P27" s="8">
        <f t="shared" si="6"/>
        <v>0</v>
      </c>
      <c r="Q27" s="8">
        <f t="shared" si="6"/>
        <v>0</v>
      </c>
      <c r="R27" s="8">
        <f t="shared" si="6"/>
        <v>0</v>
      </c>
      <c r="S27" s="9">
        <f t="shared" si="6"/>
        <v>0</v>
      </c>
    </row>
    <row r="28" spans="1:19" ht="24" x14ac:dyDescent="0.3">
      <c r="A28" s="7" t="s">
        <v>48</v>
      </c>
      <c r="B28" s="8">
        <v>3.3</v>
      </c>
      <c r="C28" s="8">
        <v>0.36</v>
      </c>
      <c r="D28" s="8">
        <v>0</v>
      </c>
      <c r="E28" s="8">
        <v>0.48</v>
      </c>
      <c r="F28" s="8">
        <v>0.52</v>
      </c>
      <c r="G28" s="8">
        <v>0.6</v>
      </c>
      <c r="H28" s="8">
        <v>7.0000000000000001E-3</v>
      </c>
      <c r="I28" s="9">
        <v>59</v>
      </c>
      <c r="J28" s="10"/>
      <c r="L28" s="8">
        <f t="shared" si="6"/>
        <v>0</v>
      </c>
      <c r="M28" s="8">
        <f t="shared" si="6"/>
        <v>0</v>
      </c>
      <c r="N28" s="8">
        <f t="shared" si="6"/>
        <v>0</v>
      </c>
      <c r="O28" s="8">
        <f t="shared" si="6"/>
        <v>0</v>
      </c>
      <c r="P28" s="8">
        <f t="shared" si="6"/>
        <v>0</v>
      </c>
      <c r="Q28" s="8">
        <f t="shared" si="6"/>
        <v>0</v>
      </c>
      <c r="R28" s="8">
        <f t="shared" si="6"/>
        <v>0</v>
      </c>
      <c r="S28" s="9">
        <f t="shared" si="6"/>
        <v>0</v>
      </c>
    </row>
    <row r="29" spans="1:19" ht="24" x14ac:dyDescent="0.3">
      <c r="A29" s="7" t="s">
        <v>49</v>
      </c>
      <c r="B29" s="8">
        <v>2.2799999999999998</v>
      </c>
      <c r="C29" s="8">
        <v>1.88</v>
      </c>
      <c r="D29" s="8">
        <v>0</v>
      </c>
      <c r="E29" s="8">
        <v>4.96</v>
      </c>
      <c r="F29" s="8">
        <v>0.52</v>
      </c>
      <c r="G29" s="8">
        <v>1.05</v>
      </c>
      <c r="H29" s="8">
        <v>3.0000000000000001E-3</v>
      </c>
      <c r="I29" s="9">
        <v>63.4</v>
      </c>
      <c r="J29" s="10"/>
      <c r="L29" s="8">
        <f t="shared" si="6"/>
        <v>0</v>
      </c>
      <c r="M29" s="8">
        <f t="shared" si="6"/>
        <v>0</v>
      </c>
      <c r="N29" s="8">
        <f t="shared" si="6"/>
        <v>0</v>
      </c>
      <c r="O29" s="8">
        <f t="shared" si="6"/>
        <v>0</v>
      </c>
      <c r="P29" s="8">
        <f t="shared" si="6"/>
        <v>0</v>
      </c>
      <c r="Q29" s="8">
        <f t="shared" si="6"/>
        <v>0</v>
      </c>
      <c r="R29" s="8">
        <f t="shared" si="6"/>
        <v>0</v>
      </c>
      <c r="S29" s="9">
        <f t="shared" si="6"/>
        <v>0</v>
      </c>
    </row>
    <row r="30" spans="1:19" x14ac:dyDescent="0.3">
      <c r="A30" s="7"/>
      <c r="B30" s="8"/>
      <c r="C30" s="8"/>
      <c r="D30" s="8"/>
      <c r="E30" s="8"/>
      <c r="F30" s="8"/>
      <c r="G30" s="8"/>
      <c r="H30" s="8"/>
      <c r="I30" s="9"/>
      <c r="J30" s="10"/>
      <c r="L30" s="8">
        <f t="shared" si="6"/>
        <v>0</v>
      </c>
      <c r="M30" s="8">
        <f t="shared" si="6"/>
        <v>0</v>
      </c>
      <c r="N30" s="8">
        <f t="shared" si="6"/>
        <v>0</v>
      </c>
      <c r="O30" s="8">
        <f t="shared" si="6"/>
        <v>0</v>
      </c>
      <c r="P30" s="8">
        <f t="shared" si="6"/>
        <v>0</v>
      </c>
      <c r="Q30" s="8">
        <f t="shared" si="6"/>
        <v>0</v>
      </c>
      <c r="R30" s="8">
        <f t="shared" si="6"/>
        <v>0</v>
      </c>
      <c r="S30" s="9">
        <f t="shared" si="6"/>
        <v>0</v>
      </c>
    </row>
    <row r="31" spans="1:19" x14ac:dyDescent="0.3">
      <c r="A31" s="7"/>
      <c r="B31" s="8"/>
      <c r="C31" s="8"/>
      <c r="D31" s="8"/>
      <c r="E31" s="8"/>
      <c r="F31" s="8"/>
      <c r="G31" s="8"/>
      <c r="H31" s="8"/>
      <c r="I31" s="9"/>
      <c r="J31" s="10"/>
      <c r="L31" s="8">
        <f t="shared" si="6"/>
        <v>0</v>
      </c>
      <c r="M31" s="8">
        <f t="shared" si="6"/>
        <v>0</v>
      </c>
      <c r="N31" s="8">
        <f t="shared" si="6"/>
        <v>0</v>
      </c>
      <c r="O31" s="8">
        <f t="shared" si="6"/>
        <v>0</v>
      </c>
      <c r="P31" s="8">
        <f t="shared" si="6"/>
        <v>0</v>
      </c>
      <c r="Q31" s="8">
        <f t="shared" si="6"/>
        <v>0</v>
      </c>
      <c r="R31" s="8">
        <f t="shared" si="6"/>
        <v>0</v>
      </c>
      <c r="S31" s="9">
        <f t="shared" si="6"/>
        <v>0</v>
      </c>
    </row>
    <row r="32" spans="1:19" x14ac:dyDescent="0.3">
      <c r="A32" s="4" t="s">
        <v>185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/>
      <c r="K32" s="6"/>
      <c r="L32" s="5">
        <f>B32*$J32</f>
        <v>0</v>
      </c>
      <c r="M32" s="5">
        <f t="shared" si="6"/>
        <v>0</v>
      </c>
      <c r="N32" s="5">
        <f t="shared" si="6"/>
        <v>0</v>
      </c>
      <c r="O32" s="5">
        <f t="shared" si="6"/>
        <v>0</v>
      </c>
      <c r="P32" s="5">
        <f t="shared" si="6"/>
        <v>0</v>
      </c>
      <c r="Q32" s="5">
        <f t="shared" si="6"/>
        <v>0</v>
      </c>
      <c r="R32" s="5">
        <f t="shared" si="6"/>
        <v>0</v>
      </c>
      <c r="S32" s="5">
        <f t="shared" si="6"/>
        <v>0</v>
      </c>
    </row>
    <row r="33" spans="1:19" x14ac:dyDescent="0.3">
      <c r="A33" s="7" t="s">
        <v>21</v>
      </c>
      <c r="B33" s="8">
        <v>6.5</v>
      </c>
      <c r="C33" s="8">
        <v>0.6</v>
      </c>
      <c r="D33" s="8">
        <v>0.6</v>
      </c>
      <c r="E33" s="8">
        <v>5.9</v>
      </c>
      <c r="F33" s="8">
        <v>1.8</v>
      </c>
      <c r="G33" s="8">
        <v>0</v>
      </c>
      <c r="H33" s="8">
        <v>0.1</v>
      </c>
      <c r="I33" s="9">
        <v>84</v>
      </c>
      <c r="J33" s="10"/>
      <c r="L33" s="8">
        <f t="shared" si="6"/>
        <v>0</v>
      </c>
      <c r="M33" s="8">
        <f t="shared" si="6"/>
        <v>0</v>
      </c>
      <c r="N33" s="8">
        <f t="shared" si="6"/>
        <v>0</v>
      </c>
      <c r="O33" s="8">
        <f t="shared" si="6"/>
        <v>0</v>
      </c>
      <c r="P33" s="8">
        <f t="shared" si="6"/>
        <v>0</v>
      </c>
      <c r="Q33" s="8">
        <f t="shared" si="6"/>
        <v>0</v>
      </c>
      <c r="R33" s="8">
        <f t="shared" si="6"/>
        <v>0</v>
      </c>
      <c r="S33" s="9">
        <f t="shared" si="6"/>
        <v>0</v>
      </c>
    </row>
    <row r="34" spans="1:19" ht="24" x14ac:dyDescent="0.3">
      <c r="A34" s="7" t="s">
        <v>34</v>
      </c>
      <c r="B34" s="8">
        <v>19.600000000000001</v>
      </c>
      <c r="C34" s="8">
        <v>5.8</v>
      </c>
      <c r="D34" s="8">
        <v>2.2999999999999998</v>
      </c>
      <c r="E34" s="8">
        <v>7.5</v>
      </c>
      <c r="F34" s="8">
        <v>0.7</v>
      </c>
      <c r="G34" s="8">
        <v>5.9</v>
      </c>
      <c r="H34" s="8">
        <v>1.3</v>
      </c>
      <c r="I34" s="9">
        <v>181</v>
      </c>
      <c r="J34" s="10"/>
      <c r="L34" s="8">
        <f t="shared" si="6"/>
        <v>0</v>
      </c>
      <c r="M34" s="8">
        <f t="shared" si="6"/>
        <v>0</v>
      </c>
      <c r="N34" s="8">
        <f t="shared" si="6"/>
        <v>0</v>
      </c>
      <c r="O34" s="8">
        <f t="shared" si="6"/>
        <v>0</v>
      </c>
      <c r="P34" s="8">
        <f t="shared" si="6"/>
        <v>0</v>
      </c>
      <c r="Q34" s="8">
        <f t="shared" si="6"/>
        <v>0</v>
      </c>
      <c r="R34" s="8">
        <f t="shared" si="6"/>
        <v>0</v>
      </c>
      <c r="S34" s="9">
        <f t="shared" si="6"/>
        <v>0</v>
      </c>
    </row>
    <row r="35" spans="1:19" ht="24" x14ac:dyDescent="0.3">
      <c r="A35" s="7" t="s">
        <v>35</v>
      </c>
      <c r="B35" s="8">
        <v>16.2</v>
      </c>
      <c r="C35" s="8">
        <v>5.2</v>
      </c>
      <c r="D35" s="8">
        <v>3.3</v>
      </c>
      <c r="E35" s="8">
        <v>14.4</v>
      </c>
      <c r="F35" s="8">
        <v>1</v>
      </c>
      <c r="G35" s="8">
        <v>5.9</v>
      </c>
      <c r="H35" s="8">
        <v>1</v>
      </c>
      <c r="I35" s="9">
        <v>227</v>
      </c>
      <c r="J35" s="10"/>
      <c r="L35" s="8">
        <f t="shared" si="6"/>
        <v>0</v>
      </c>
      <c r="M35" s="8">
        <f t="shared" si="6"/>
        <v>0</v>
      </c>
      <c r="N35" s="8">
        <f t="shared" si="6"/>
        <v>0</v>
      </c>
      <c r="O35" s="8">
        <f t="shared" si="6"/>
        <v>0</v>
      </c>
      <c r="P35" s="8">
        <f t="shared" si="6"/>
        <v>0</v>
      </c>
      <c r="Q35" s="8">
        <f t="shared" si="6"/>
        <v>0</v>
      </c>
      <c r="R35" s="8">
        <f t="shared" si="6"/>
        <v>0</v>
      </c>
      <c r="S35" s="9">
        <f t="shared" si="6"/>
        <v>0</v>
      </c>
    </row>
    <row r="36" spans="1:19" x14ac:dyDescent="0.3">
      <c r="A36" s="7" t="s">
        <v>36</v>
      </c>
      <c r="B36" s="8">
        <v>20</v>
      </c>
      <c r="C36" s="8">
        <v>0</v>
      </c>
      <c r="D36" s="8">
        <v>0</v>
      </c>
      <c r="E36" s="8">
        <v>13</v>
      </c>
      <c r="F36" s="8">
        <v>3</v>
      </c>
      <c r="G36" s="8">
        <v>0</v>
      </c>
      <c r="H36" s="8">
        <v>0.59</v>
      </c>
      <c r="I36" s="9">
        <v>208</v>
      </c>
      <c r="J36" s="10"/>
      <c r="L36" s="8">
        <f t="shared" ref="L36:S52" si="8">B36*$J36</f>
        <v>0</v>
      </c>
      <c r="M36" s="8">
        <f t="shared" si="8"/>
        <v>0</v>
      </c>
      <c r="N36" s="8">
        <f t="shared" si="8"/>
        <v>0</v>
      </c>
      <c r="O36" s="8">
        <f t="shared" si="8"/>
        <v>0</v>
      </c>
      <c r="P36" s="8">
        <f t="shared" si="8"/>
        <v>0</v>
      </c>
      <c r="Q36" s="8">
        <f t="shared" si="8"/>
        <v>0</v>
      </c>
      <c r="R36" s="8">
        <f t="shared" si="8"/>
        <v>0</v>
      </c>
      <c r="S36" s="9">
        <f t="shared" si="8"/>
        <v>0</v>
      </c>
    </row>
    <row r="37" spans="1:19" x14ac:dyDescent="0.3">
      <c r="A37" s="7" t="s">
        <v>37</v>
      </c>
      <c r="B37" s="8">
        <v>21</v>
      </c>
      <c r="C37" s="8">
        <v>0</v>
      </c>
      <c r="D37" s="8">
        <v>0</v>
      </c>
      <c r="E37" s="8">
        <v>3.5</v>
      </c>
      <c r="F37" s="8">
        <v>1</v>
      </c>
      <c r="G37" s="8">
        <v>0</v>
      </c>
      <c r="H37" s="8">
        <v>0.01</v>
      </c>
      <c r="I37" s="9">
        <v>120</v>
      </c>
      <c r="J37" s="10"/>
      <c r="L37" s="8">
        <f t="shared" si="8"/>
        <v>0</v>
      </c>
      <c r="M37" s="8">
        <f t="shared" si="8"/>
        <v>0</v>
      </c>
      <c r="N37" s="8">
        <f t="shared" si="8"/>
        <v>0</v>
      </c>
      <c r="O37" s="8">
        <f t="shared" si="8"/>
        <v>0</v>
      </c>
      <c r="P37" s="8">
        <f t="shared" si="8"/>
        <v>0</v>
      </c>
      <c r="Q37" s="8">
        <f t="shared" si="8"/>
        <v>0</v>
      </c>
      <c r="R37" s="8">
        <f t="shared" si="8"/>
        <v>0</v>
      </c>
      <c r="S37" s="9">
        <f t="shared" si="8"/>
        <v>0</v>
      </c>
    </row>
    <row r="38" spans="1:19" ht="24" x14ac:dyDescent="0.3">
      <c r="A38" s="7" t="s">
        <v>38</v>
      </c>
      <c r="B38" s="8">
        <v>28.15</v>
      </c>
      <c r="C38" s="8">
        <v>0</v>
      </c>
      <c r="D38" s="8">
        <v>0</v>
      </c>
      <c r="E38" s="8">
        <v>5</v>
      </c>
      <c r="F38" s="8">
        <v>2</v>
      </c>
      <c r="G38" s="8">
        <v>0</v>
      </c>
      <c r="H38" s="8">
        <v>0.44</v>
      </c>
      <c r="I38" s="9">
        <v>170.34</v>
      </c>
      <c r="J38" s="10"/>
      <c r="L38" s="8">
        <f t="shared" si="8"/>
        <v>0</v>
      </c>
      <c r="M38" s="8">
        <f t="shared" si="8"/>
        <v>0</v>
      </c>
      <c r="N38" s="8">
        <f t="shared" si="8"/>
        <v>0</v>
      </c>
      <c r="O38" s="8">
        <f t="shared" si="8"/>
        <v>0</v>
      </c>
      <c r="P38" s="8">
        <f t="shared" si="8"/>
        <v>0</v>
      </c>
      <c r="Q38" s="8">
        <f t="shared" si="8"/>
        <v>0</v>
      </c>
      <c r="R38" s="8">
        <f t="shared" si="8"/>
        <v>0</v>
      </c>
      <c r="S38" s="9">
        <f t="shared" si="8"/>
        <v>0</v>
      </c>
    </row>
    <row r="39" spans="1:19" ht="24" x14ac:dyDescent="0.3">
      <c r="A39" s="7" t="s">
        <v>39</v>
      </c>
      <c r="B39" s="8">
        <v>23.4</v>
      </c>
      <c r="C39" s="8">
        <v>0</v>
      </c>
      <c r="D39" s="8">
        <v>0</v>
      </c>
      <c r="E39" s="8">
        <v>1.3</v>
      </c>
      <c r="F39" s="8">
        <v>0.3</v>
      </c>
      <c r="G39" s="8">
        <v>0</v>
      </c>
      <c r="H39" s="8">
        <v>0.2</v>
      </c>
      <c r="I39" s="9">
        <v>105</v>
      </c>
      <c r="J39" s="10"/>
      <c r="L39" s="8">
        <f t="shared" si="8"/>
        <v>0</v>
      </c>
      <c r="M39" s="8">
        <f t="shared" si="8"/>
        <v>0</v>
      </c>
      <c r="N39" s="8">
        <f t="shared" si="8"/>
        <v>0</v>
      </c>
      <c r="O39" s="8">
        <f t="shared" si="8"/>
        <v>0</v>
      </c>
      <c r="P39" s="8">
        <f t="shared" si="8"/>
        <v>0</v>
      </c>
      <c r="Q39" s="8">
        <f t="shared" si="8"/>
        <v>0</v>
      </c>
      <c r="R39" s="8">
        <f t="shared" si="8"/>
        <v>0</v>
      </c>
      <c r="S39" s="9">
        <f t="shared" si="8"/>
        <v>0</v>
      </c>
    </row>
    <row r="40" spans="1:19" ht="24.6" customHeight="1" x14ac:dyDescent="0.3">
      <c r="A40" s="7" t="s">
        <v>69</v>
      </c>
      <c r="B40" s="8">
        <v>27</v>
      </c>
      <c r="C40" s="8">
        <v>21</v>
      </c>
      <c r="D40" s="8">
        <v>11</v>
      </c>
      <c r="E40" s="8">
        <v>9.1999999999999993</v>
      </c>
      <c r="F40" s="8">
        <v>2.2000000000000002</v>
      </c>
      <c r="G40" s="8">
        <v>5.3</v>
      </c>
      <c r="H40" s="8">
        <v>2.8</v>
      </c>
      <c r="I40" s="9">
        <v>288</v>
      </c>
      <c r="J40" s="10"/>
      <c r="L40" s="8">
        <f t="shared" si="8"/>
        <v>0</v>
      </c>
      <c r="M40" s="8">
        <f t="shared" si="8"/>
        <v>0</v>
      </c>
      <c r="N40" s="8">
        <f t="shared" si="8"/>
        <v>0</v>
      </c>
      <c r="O40" s="8">
        <f t="shared" si="8"/>
        <v>0</v>
      </c>
      <c r="P40" s="8">
        <f t="shared" si="8"/>
        <v>0</v>
      </c>
      <c r="Q40" s="8">
        <f t="shared" si="8"/>
        <v>0</v>
      </c>
      <c r="R40" s="8">
        <f t="shared" si="8"/>
        <v>0</v>
      </c>
      <c r="S40" s="9">
        <f t="shared" si="8"/>
        <v>0</v>
      </c>
    </row>
    <row r="41" spans="1:19" ht="24" x14ac:dyDescent="0.3">
      <c r="A41" s="7" t="s">
        <v>68</v>
      </c>
      <c r="B41" s="8">
        <v>31</v>
      </c>
      <c r="C41" s="8">
        <v>42</v>
      </c>
      <c r="D41" s="8">
        <v>6.2</v>
      </c>
      <c r="E41" s="8">
        <v>10</v>
      </c>
      <c r="F41" s="8">
        <v>2.2000000000000002</v>
      </c>
      <c r="G41" s="8">
        <v>3.9</v>
      </c>
      <c r="H41" s="8">
        <v>1.8</v>
      </c>
      <c r="I41" s="9">
        <v>392</v>
      </c>
      <c r="J41" s="10"/>
      <c r="L41" s="8">
        <f t="shared" si="8"/>
        <v>0</v>
      </c>
      <c r="M41" s="8">
        <f t="shared" si="8"/>
        <v>0</v>
      </c>
      <c r="N41" s="8">
        <f t="shared" si="8"/>
        <v>0</v>
      </c>
      <c r="O41" s="8">
        <f t="shared" si="8"/>
        <v>0</v>
      </c>
      <c r="P41" s="8">
        <f t="shared" si="8"/>
        <v>0</v>
      </c>
      <c r="Q41" s="8">
        <f t="shared" si="8"/>
        <v>0</v>
      </c>
      <c r="R41" s="8">
        <f t="shared" si="8"/>
        <v>0</v>
      </c>
      <c r="S41" s="9">
        <f t="shared" si="8"/>
        <v>0</v>
      </c>
    </row>
    <row r="42" spans="1:19" ht="24.6" customHeight="1" x14ac:dyDescent="0.3">
      <c r="A42" s="7"/>
      <c r="B42" s="8"/>
      <c r="C42" s="8"/>
      <c r="D42" s="8"/>
      <c r="E42" s="8"/>
      <c r="F42" s="8"/>
      <c r="G42" s="8"/>
      <c r="H42" s="8"/>
      <c r="I42" s="9"/>
      <c r="J42" s="10"/>
      <c r="L42" s="8">
        <f t="shared" si="8"/>
        <v>0</v>
      </c>
      <c r="M42" s="8">
        <f t="shared" si="8"/>
        <v>0</v>
      </c>
      <c r="N42" s="8">
        <f t="shared" si="8"/>
        <v>0</v>
      </c>
      <c r="O42" s="8">
        <f t="shared" si="8"/>
        <v>0</v>
      </c>
      <c r="P42" s="8">
        <f t="shared" si="8"/>
        <v>0</v>
      </c>
      <c r="Q42" s="8">
        <f t="shared" si="8"/>
        <v>0</v>
      </c>
      <c r="R42" s="8">
        <f t="shared" si="8"/>
        <v>0</v>
      </c>
      <c r="S42" s="9">
        <f t="shared" si="8"/>
        <v>0</v>
      </c>
    </row>
    <row r="43" spans="1:19" x14ac:dyDescent="0.3">
      <c r="A43" s="7"/>
      <c r="B43" s="8"/>
      <c r="C43" s="8"/>
      <c r="D43" s="8"/>
      <c r="E43" s="8"/>
      <c r="F43" s="8"/>
      <c r="G43" s="8"/>
      <c r="H43" s="8"/>
      <c r="I43" s="9"/>
      <c r="J43" s="10"/>
      <c r="L43" s="8">
        <f t="shared" si="8"/>
        <v>0</v>
      </c>
      <c r="M43" s="8">
        <f t="shared" si="8"/>
        <v>0</v>
      </c>
      <c r="N43" s="8">
        <f t="shared" si="8"/>
        <v>0</v>
      </c>
      <c r="O43" s="8">
        <f t="shared" si="8"/>
        <v>0</v>
      </c>
      <c r="P43" s="8">
        <f t="shared" si="8"/>
        <v>0</v>
      </c>
      <c r="Q43" s="8">
        <f t="shared" si="8"/>
        <v>0</v>
      </c>
      <c r="R43" s="8">
        <f t="shared" si="8"/>
        <v>0</v>
      </c>
      <c r="S43" s="9">
        <f t="shared" si="8"/>
        <v>0</v>
      </c>
    </row>
    <row r="44" spans="1:19" x14ac:dyDescent="0.3">
      <c r="A44" s="7" t="s">
        <v>170</v>
      </c>
      <c r="B44" s="8">
        <v>11.25</v>
      </c>
      <c r="C44" s="8">
        <v>2.7</v>
      </c>
      <c r="D44" s="8">
        <v>1.125</v>
      </c>
      <c r="E44" s="8">
        <v>9</v>
      </c>
      <c r="F44" s="8">
        <v>3.2250000000000001</v>
      </c>
      <c r="G44" s="8">
        <v>0</v>
      </c>
      <c r="H44" s="8">
        <v>0.48799999999999999</v>
      </c>
      <c r="I44" s="9">
        <v>138.75</v>
      </c>
      <c r="J44" s="10"/>
      <c r="L44" s="8">
        <f t="shared" si="8"/>
        <v>0</v>
      </c>
      <c r="M44" s="8">
        <f t="shared" si="8"/>
        <v>0</v>
      </c>
      <c r="N44" s="8">
        <f t="shared" si="8"/>
        <v>0</v>
      </c>
      <c r="O44" s="8">
        <f t="shared" si="8"/>
        <v>0</v>
      </c>
      <c r="P44" s="8">
        <f t="shared" si="8"/>
        <v>0</v>
      </c>
      <c r="Q44" s="8">
        <f t="shared" si="8"/>
        <v>0</v>
      </c>
      <c r="R44" s="8">
        <f t="shared" si="8"/>
        <v>0</v>
      </c>
      <c r="S44" s="9">
        <f t="shared" si="8"/>
        <v>0</v>
      </c>
    </row>
    <row r="45" spans="1:19" ht="24" x14ac:dyDescent="0.3">
      <c r="A45" s="7" t="s">
        <v>171</v>
      </c>
      <c r="B45" s="8">
        <v>17.850000000000001</v>
      </c>
      <c r="C45" s="8">
        <v>0.6</v>
      </c>
      <c r="D45" s="8">
        <v>0.4</v>
      </c>
      <c r="E45" s="8">
        <v>6.8</v>
      </c>
      <c r="F45" s="8">
        <v>1.87</v>
      </c>
      <c r="G45" s="8">
        <v>0.5</v>
      </c>
      <c r="H45" s="8">
        <v>0.75</v>
      </c>
      <c r="I45" s="9">
        <v>133</v>
      </c>
      <c r="J45" s="10"/>
      <c r="L45" s="8">
        <f t="shared" si="8"/>
        <v>0</v>
      </c>
      <c r="M45" s="8">
        <f t="shared" si="8"/>
        <v>0</v>
      </c>
      <c r="N45" s="8">
        <f t="shared" si="8"/>
        <v>0</v>
      </c>
      <c r="O45" s="8">
        <f t="shared" si="8"/>
        <v>0</v>
      </c>
      <c r="P45" s="8">
        <f t="shared" si="8"/>
        <v>0</v>
      </c>
      <c r="Q45" s="8">
        <f t="shared" si="8"/>
        <v>0</v>
      </c>
      <c r="R45" s="8">
        <f t="shared" si="8"/>
        <v>0</v>
      </c>
      <c r="S45" s="9">
        <f>I45*$J45</f>
        <v>0</v>
      </c>
    </row>
    <row r="46" spans="1:19" x14ac:dyDescent="0.3">
      <c r="A46" s="7" t="s">
        <v>25</v>
      </c>
      <c r="B46" s="8">
        <v>5.4</v>
      </c>
      <c r="C46" s="8">
        <v>0.3</v>
      </c>
      <c r="D46" s="8">
        <v>0.3</v>
      </c>
      <c r="E46" s="8">
        <v>0</v>
      </c>
      <c r="F46" s="8">
        <v>1.9</v>
      </c>
      <c r="G46" s="8">
        <v>0</v>
      </c>
      <c r="H46" s="8">
        <v>0.26</v>
      </c>
      <c r="I46" s="9">
        <v>47</v>
      </c>
      <c r="J46" s="10"/>
      <c r="L46" s="8">
        <f t="shared" si="8"/>
        <v>0</v>
      </c>
      <c r="M46" s="8">
        <f t="shared" si="8"/>
        <v>0</v>
      </c>
      <c r="N46" s="8">
        <f t="shared" si="8"/>
        <v>0</v>
      </c>
      <c r="O46" s="8">
        <f t="shared" si="8"/>
        <v>0</v>
      </c>
      <c r="P46" s="8">
        <f t="shared" si="8"/>
        <v>0</v>
      </c>
      <c r="Q46" s="8">
        <f t="shared" si="8"/>
        <v>0</v>
      </c>
      <c r="R46" s="8">
        <f t="shared" si="8"/>
        <v>0</v>
      </c>
      <c r="S46" s="9">
        <f t="shared" si="8"/>
        <v>0</v>
      </c>
    </row>
    <row r="47" spans="1:19" x14ac:dyDescent="0.3">
      <c r="A47" s="7" t="s">
        <v>43</v>
      </c>
      <c r="B47" s="8">
        <v>10.4</v>
      </c>
      <c r="C47" s="8">
        <v>3</v>
      </c>
      <c r="D47" s="8">
        <v>0</v>
      </c>
      <c r="E47" s="8">
        <v>0.8</v>
      </c>
      <c r="F47" s="8">
        <v>0.56000000000000005</v>
      </c>
      <c r="G47" s="8">
        <v>0.3</v>
      </c>
      <c r="H47" s="8">
        <v>0.48</v>
      </c>
      <c r="I47" s="9">
        <v>61</v>
      </c>
      <c r="J47" s="10"/>
      <c r="L47" s="8">
        <f t="shared" si="8"/>
        <v>0</v>
      </c>
      <c r="M47" s="8">
        <f t="shared" si="8"/>
        <v>0</v>
      </c>
      <c r="N47" s="8">
        <f t="shared" si="8"/>
        <v>0</v>
      </c>
      <c r="O47" s="8">
        <f t="shared" si="8"/>
        <v>0</v>
      </c>
      <c r="P47" s="8">
        <f t="shared" si="8"/>
        <v>0</v>
      </c>
      <c r="Q47" s="8">
        <f t="shared" si="8"/>
        <v>0</v>
      </c>
      <c r="R47" s="8">
        <f t="shared" si="8"/>
        <v>0</v>
      </c>
      <c r="S47" s="9">
        <f>I47*$J47</f>
        <v>0</v>
      </c>
    </row>
    <row r="48" spans="1:19" x14ac:dyDescent="0.3">
      <c r="A48" s="7" t="s">
        <v>44</v>
      </c>
      <c r="B48" s="8">
        <v>7.9</v>
      </c>
      <c r="C48" s="8">
        <v>2.6</v>
      </c>
      <c r="D48" s="8">
        <v>0</v>
      </c>
      <c r="E48" s="8">
        <v>0</v>
      </c>
      <c r="F48" s="8">
        <v>0</v>
      </c>
      <c r="G48" s="8">
        <v>0</v>
      </c>
      <c r="H48" s="8">
        <v>0.64</v>
      </c>
      <c r="I48" s="9">
        <v>42</v>
      </c>
      <c r="J48" s="10"/>
      <c r="L48" s="8">
        <f t="shared" si="8"/>
        <v>0</v>
      </c>
      <c r="M48" s="8">
        <f t="shared" si="8"/>
        <v>0</v>
      </c>
      <c r="N48" s="8">
        <f t="shared" si="8"/>
        <v>0</v>
      </c>
      <c r="O48" s="8">
        <f t="shared" si="8"/>
        <v>0</v>
      </c>
      <c r="P48" s="8">
        <f t="shared" si="8"/>
        <v>0</v>
      </c>
      <c r="Q48" s="8">
        <f t="shared" si="8"/>
        <v>0</v>
      </c>
      <c r="R48" s="8">
        <f t="shared" si="8"/>
        <v>0</v>
      </c>
      <c r="S48" s="9">
        <f>I48*$J48</f>
        <v>0</v>
      </c>
    </row>
    <row r="49" spans="1:19" ht="24" x14ac:dyDescent="0.3">
      <c r="A49" s="7" t="s">
        <v>16</v>
      </c>
      <c r="B49" s="8">
        <v>6.2</v>
      </c>
      <c r="C49" s="8">
        <v>6.4</v>
      </c>
      <c r="D49" s="8">
        <v>0</v>
      </c>
      <c r="E49" s="8">
        <v>0.2</v>
      </c>
      <c r="F49" s="8">
        <v>0.1</v>
      </c>
      <c r="G49" s="8">
        <v>0</v>
      </c>
      <c r="H49" s="8">
        <v>0.14000000000000001</v>
      </c>
      <c r="I49" s="9">
        <v>56</v>
      </c>
      <c r="J49" s="10"/>
      <c r="L49" s="8">
        <f>B49*$J49</f>
        <v>0</v>
      </c>
      <c r="M49" s="8">
        <f t="shared" si="8"/>
        <v>0</v>
      </c>
      <c r="N49" s="8">
        <f t="shared" si="8"/>
        <v>0</v>
      </c>
      <c r="O49" s="8">
        <f t="shared" si="8"/>
        <v>0</v>
      </c>
      <c r="P49" s="8">
        <f t="shared" si="8"/>
        <v>0</v>
      </c>
      <c r="Q49" s="8">
        <f t="shared" si="8"/>
        <v>0</v>
      </c>
      <c r="R49" s="8">
        <f t="shared" si="8"/>
        <v>0</v>
      </c>
      <c r="S49" s="9">
        <f t="shared" si="8"/>
        <v>0</v>
      </c>
    </row>
    <row r="50" spans="1:19" x14ac:dyDescent="0.3">
      <c r="A50" s="7"/>
      <c r="B50" s="8"/>
      <c r="C50" s="8"/>
      <c r="D50" s="8"/>
      <c r="E50" s="8"/>
      <c r="F50" s="8"/>
      <c r="G50" s="8"/>
      <c r="H50" s="8"/>
      <c r="I50" s="9"/>
      <c r="J50" s="10"/>
      <c r="L50" s="8">
        <f t="shared" ref="L50" si="9">B50*$J50</f>
        <v>0</v>
      </c>
      <c r="M50" s="8">
        <f t="shared" si="8"/>
        <v>0</v>
      </c>
      <c r="N50" s="8">
        <f t="shared" si="8"/>
        <v>0</v>
      </c>
      <c r="O50" s="8">
        <f t="shared" si="8"/>
        <v>0</v>
      </c>
      <c r="P50" s="8">
        <f t="shared" si="8"/>
        <v>0</v>
      </c>
      <c r="Q50" s="8">
        <f t="shared" si="8"/>
        <v>0</v>
      </c>
      <c r="R50" s="8">
        <f t="shared" si="8"/>
        <v>0</v>
      </c>
      <c r="S50" s="9">
        <f>I50*$J50</f>
        <v>0</v>
      </c>
    </row>
    <row r="51" spans="1:19" x14ac:dyDescent="0.3">
      <c r="A51" s="7"/>
      <c r="B51" s="8"/>
      <c r="C51" s="8"/>
      <c r="D51" s="8"/>
      <c r="E51" s="8"/>
      <c r="F51" s="8"/>
      <c r="G51" s="8"/>
      <c r="H51" s="8"/>
      <c r="I51" s="9"/>
      <c r="J51" s="10"/>
      <c r="L51" s="8">
        <f>B51*$J51</f>
        <v>0</v>
      </c>
      <c r="M51" s="8">
        <f t="shared" si="8"/>
        <v>0</v>
      </c>
      <c r="N51" s="8">
        <f t="shared" si="8"/>
        <v>0</v>
      </c>
      <c r="O51" s="8">
        <f t="shared" si="8"/>
        <v>0</v>
      </c>
      <c r="P51" s="8">
        <f t="shared" si="8"/>
        <v>0</v>
      </c>
      <c r="Q51" s="8">
        <f t="shared" si="8"/>
        <v>0</v>
      </c>
      <c r="R51" s="8">
        <f t="shared" si="8"/>
        <v>0</v>
      </c>
      <c r="S51" s="9">
        <f t="shared" si="8"/>
        <v>0</v>
      </c>
    </row>
    <row r="52" spans="1:19" x14ac:dyDescent="0.3">
      <c r="A52" s="4" t="s">
        <v>192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/>
      <c r="K52" s="6"/>
      <c r="L52" s="5">
        <f>B52*$J52</f>
        <v>0</v>
      </c>
      <c r="M52" s="5">
        <f t="shared" si="8"/>
        <v>0</v>
      </c>
      <c r="N52" s="5">
        <f t="shared" si="8"/>
        <v>0</v>
      </c>
      <c r="O52" s="5">
        <f t="shared" si="8"/>
        <v>0</v>
      </c>
      <c r="P52" s="5">
        <f t="shared" si="8"/>
        <v>0</v>
      </c>
      <c r="Q52" s="5">
        <f t="shared" si="8"/>
        <v>0</v>
      </c>
      <c r="R52" s="5">
        <f t="shared" si="8"/>
        <v>0</v>
      </c>
      <c r="S52" s="5">
        <f t="shared" si="8"/>
        <v>0</v>
      </c>
    </row>
    <row r="53" spans="1:19" ht="36" x14ac:dyDescent="0.3">
      <c r="A53" s="7" t="s">
        <v>31</v>
      </c>
      <c r="B53" s="8">
        <v>1.8</v>
      </c>
      <c r="C53" s="8">
        <v>20</v>
      </c>
      <c r="D53" s="8">
        <v>0</v>
      </c>
      <c r="E53" s="8">
        <v>0</v>
      </c>
      <c r="F53" s="8">
        <v>0</v>
      </c>
      <c r="G53" s="8">
        <v>2</v>
      </c>
      <c r="H53" s="8">
        <v>0.01</v>
      </c>
      <c r="I53" s="9">
        <v>87</v>
      </c>
      <c r="J53" s="10"/>
      <c r="L53" s="8">
        <f t="shared" ref="L53:S62" si="10">B53*$J53</f>
        <v>0</v>
      </c>
      <c r="M53" s="8">
        <f t="shared" si="10"/>
        <v>0</v>
      </c>
      <c r="N53" s="8">
        <f t="shared" si="10"/>
        <v>0</v>
      </c>
      <c r="O53" s="8">
        <f t="shared" si="10"/>
        <v>0</v>
      </c>
      <c r="P53" s="8">
        <f t="shared" si="10"/>
        <v>0</v>
      </c>
      <c r="Q53" s="8">
        <f t="shared" si="10"/>
        <v>0</v>
      </c>
      <c r="R53" s="8">
        <f t="shared" si="10"/>
        <v>0</v>
      </c>
      <c r="S53" s="9">
        <f t="shared" si="10"/>
        <v>0</v>
      </c>
    </row>
    <row r="54" spans="1:19" ht="24" x14ac:dyDescent="0.3">
      <c r="A54" s="7" t="s">
        <v>32</v>
      </c>
      <c r="B54" s="8">
        <v>2.5</v>
      </c>
      <c r="C54" s="8">
        <v>29</v>
      </c>
      <c r="D54" s="8">
        <v>0</v>
      </c>
      <c r="E54" s="8">
        <v>0.2</v>
      </c>
      <c r="F54" s="8">
        <v>0.1</v>
      </c>
      <c r="G54" s="8">
        <v>0.4</v>
      </c>
      <c r="H54" s="8">
        <v>0.3</v>
      </c>
      <c r="I54" s="9">
        <v>130</v>
      </c>
      <c r="J54" s="10"/>
      <c r="L54" s="8">
        <f t="shared" si="10"/>
        <v>0</v>
      </c>
      <c r="M54" s="8">
        <f t="shared" si="10"/>
        <v>0</v>
      </c>
      <c r="N54" s="8">
        <f t="shared" si="10"/>
        <v>0</v>
      </c>
      <c r="O54" s="8">
        <f t="shared" si="10"/>
        <v>0</v>
      </c>
      <c r="P54" s="8">
        <f t="shared" si="10"/>
        <v>0</v>
      </c>
      <c r="Q54" s="8">
        <f t="shared" si="10"/>
        <v>0</v>
      </c>
      <c r="R54" s="8">
        <f t="shared" si="10"/>
        <v>0</v>
      </c>
      <c r="S54" s="9">
        <f t="shared" si="10"/>
        <v>0</v>
      </c>
    </row>
    <row r="55" spans="1:19" ht="24" x14ac:dyDescent="0.3">
      <c r="A55" s="7" t="s">
        <v>33</v>
      </c>
      <c r="B55" s="8">
        <v>2.93</v>
      </c>
      <c r="C55" s="8">
        <v>25.7</v>
      </c>
      <c r="D55" s="8">
        <v>0</v>
      </c>
      <c r="E55" s="8">
        <v>0.93</v>
      </c>
      <c r="F55" s="8">
        <v>0.3</v>
      </c>
      <c r="G55" s="8">
        <v>1.03</v>
      </c>
      <c r="H55" s="8">
        <v>0.03</v>
      </c>
      <c r="I55" s="9">
        <v>125</v>
      </c>
      <c r="J55" s="10"/>
      <c r="L55" s="8">
        <f t="shared" si="10"/>
        <v>0</v>
      </c>
      <c r="M55" s="8">
        <f t="shared" si="10"/>
        <v>0</v>
      </c>
      <c r="N55" s="8">
        <f t="shared" si="10"/>
        <v>0</v>
      </c>
      <c r="O55" s="8">
        <f t="shared" si="10"/>
        <v>0</v>
      </c>
      <c r="P55" s="8">
        <f t="shared" si="10"/>
        <v>0</v>
      </c>
      <c r="Q55" s="8">
        <f t="shared" si="10"/>
        <v>0</v>
      </c>
      <c r="R55" s="8">
        <f t="shared" si="10"/>
        <v>0</v>
      </c>
      <c r="S55" s="9">
        <f t="shared" si="10"/>
        <v>0</v>
      </c>
    </row>
    <row r="56" spans="1:19" x14ac:dyDescent="0.3">
      <c r="A56" s="7" t="s">
        <v>41</v>
      </c>
      <c r="B56" s="8">
        <v>1</v>
      </c>
      <c r="C56" s="8">
        <v>5.5</v>
      </c>
      <c r="D56" s="8">
        <v>0.18</v>
      </c>
      <c r="E56" s="8">
        <v>0.92</v>
      </c>
      <c r="F56" s="8">
        <v>0.16</v>
      </c>
      <c r="G56" s="8">
        <v>0.36</v>
      </c>
      <c r="H56" s="8">
        <v>0</v>
      </c>
      <c r="I56" s="9">
        <v>35.25</v>
      </c>
      <c r="J56" s="10"/>
      <c r="L56" s="8">
        <f t="shared" si="10"/>
        <v>0</v>
      </c>
      <c r="M56" s="8">
        <f t="shared" si="10"/>
        <v>0</v>
      </c>
      <c r="N56" s="8">
        <f t="shared" si="10"/>
        <v>0</v>
      </c>
      <c r="O56" s="8">
        <f t="shared" si="10"/>
        <v>0</v>
      </c>
      <c r="P56" s="8">
        <f t="shared" si="10"/>
        <v>0</v>
      </c>
      <c r="Q56" s="8">
        <f t="shared" si="10"/>
        <v>0</v>
      </c>
      <c r="R56" s="8">
        <f t="shared" si="10"/>
        <v>0</v>
      </c>
      <c r="S56" s="9">
        <f t="shared" si="10"/>
        <v>0</v>
      </c>
    </row>
    <row r="57" spans="1:19" x14ac:dyDescent="0.3">
      <c r="A57" s="7" t="s">
        <v>149</v>
      </c>
      <c r="B57" s="8">
        <v>1</v>
      </c>
      <c r="C57" s="8">
        <v>6.09</v>
      </c>
      <c r="D57" s="8">
        <v>0.25</v>
      </c>
      <c r="E57" s="8">
        <v>1</v>
      </c>
      <c r="F57" s="8">
        <v>0.17</v>
      </c>
      <c r="G57" s="8">
        <v>0.34</v>
      </c>
      <c r="H57" s="8">
        <v>0.12</v>
      </c>
      <c r="I57" s="9">
        <v>38.299999999999997</v>
      </c>
      <c r="J57" s="10"/>
      <c r="L57" s="8">
        <f t="shared" si="10"/>
        <v>0</v>
      </c>
      <c r="M57" s="8">
        <f t="shared" si="10"/>
        <v>0</v>
      </c>
      <c r="N57" s="8">
        <f t="shared" si="10"/>
        <v>0</v>
      </c>
      <c r="O57" s="8">
        <f t="shared" si="10"/>
        <v>0</v>
      </c>
      <c r="P57" s="8">
        <f t="shared" si="10"/>
        <v>0</v>
      </c>
      <c r="Q57" s="8">
        <f t="shared" si="10"/>
        <v>0</v>
      </c>
      <c r="R57" s="8">
        <f t="shared" si="10"/>
        <v>0</v>
      </c>
      <c r="S57" s="9">
        <f>I57*$J57</f>
        <v>0</v>
      </c>
    </row>
    <row r="58" spans="1:19" x14ac:dyDescent="0.3">
      <c r="A58" s="7"/>
      <c r="B58" s="8"/>
      <c r="C58" s="8"/>
      <c r="D58" s="8"/>
      <c r="E58" s="8"/>
      <c r="F58" s="8"/>
      <c r="G58" s="8"/>
      <c r="H58" s="8"/>
      <c r="I58" s="9"/>
      <c r="J58" s="10"/>
      <c r="L58" s="8">
        <f t="shared" si="10"/>
        <v>0</v>
      </c>
      <c r="M58" s="8">
        <f t="shared" si="10"/>
        <v>0</v>
      </c>
      <c r="N58" s="8">
        <f t="shared" si="10"/>
        <v>0</v>
      </c>
      <c r="O58" s="8">
        <f t="shared" si="10"/>
        <v>0</v>
      </c>
      <c r="P58" s="8">
        <f t="shared" si="10"/>
        <v>0</v>
      </c>
      <c r="Q58" s="8">
        <f t="shared" si="10"/>
        <v>0</v>
      </c>
      <c r="R58" s="8">
        <f t="shared" si="10"/>
        <v>0</v>
      </c>
      <c r="S58" s="9">
        <f>I58*$J58</f>
        <v>0</v>
      </c>
    </row>
    <row r="59" spans="1:19" ht="24" x14ac:dyDescent="0.3">
      <c r="A59" s="7" t="s">
        <v>50</v>
      </c>
      <c r="B59" s="8">
        <v>4.5</v>
      </c>
      <c r="C59" s="8">
        <v>5.7</v>
      </c>
      <c r="D59" s="8">
        <v>0.8</v>
      </c>
      <c r="E59" s="8">
        <v>2.4</v>
      </c>
      <c r="F59" s="8">
        <v>0.3</v>
      </c>
      <c r="G59" s="8">
        <v>4.5</v>
      </c>
      <c r="H59" s="8">
        <v>0.3</v>
      </c>
      <c r="I59" s="9">
        <v>71</v>
      </c>
      <c r="J59" s="10"/>
      <c r="L59" s="8">
        <f t="shared" si="10"/>
        <v>0</v>
      </c>
      <c r="M59" s="8">
        <f t="shared" si="10"/>
        <v>0</v>
      </c>
      <c r="N59" s="8">
        <f t="shared" si="10"/>
        <v>0</v>
      </c>
      <c r="O59" s="8">
        <f t="shared" si="10"/>
        <v>0</v>
      </c>
      <c r="P59" s="8">
        <f t="shared" si="10"/>
        <v>0</v>
      </c>
      <c r="Q59" s="8">
        <f t="shared" si="10"/>
        <v>0</v>
      </c>
      <c r="R59" s="8">
        <f t="shared" si="10"/>
        <v>0</v>
      </c>
      <c r="S59" s="9">
        <f t="shared" si="10"/>
        <v>0</v>
      </c>
    </row>
    <row r="60" spans="1:19" x14ac:dyDescent="0.3">
      <c r="A60" s="7"/>
      <c r="B60" s="8"/>
      <c r="C60" s="8"/>
      <c r="D60" s="8"/>
      <c r="E60" s="8"/>
      <c r="F60" s="8"/>
      <c r="G60" s="8"/>
      <c r="H60" s="8"/>
      <c r="I60" s="9"/>
      <c r="J60" s="10"/>
      <c r="L60" s="8">
        <f t="shared" ref="L60" si="11">B60*$J60</f>
        <v>0</v>
      </c>
      <c r="M60" s="8">
        <f t="shared" ref="M60" si="12">C60*$J60</f>
        <v>0</v>
      </c>
      <c r="N60" s="8">
        <f t="shared" ref="N60" si="13">D60*$J60</f>
        <v>0</v>
      </c>
      <c r="O60" s="8">
        <f t="shared" ref="O60" si="14">E60*$J60</f>
        <v>0</v>
      </c>
      <c r="P60" s="8">
        <f t="shared" ref="P60" si="15">F60*$J60</f>
        <v>0</v>
      </c>
      <c r="Q60" s="8">
        <f t="shared" ref="Q60" si="16">G60*$J60</f>
        <v>0</v>
      </c>
      <c r="R60" s="8">
        <f t="shared" ref="R60" si="17">H60*$J60</f>
        <v>0</v>
      </c>
      <c r="S60" s="9">
        <f>I60*$J60</f>
        <v>0</v>
      </c>
    </row>
    <row r="61" spans="1:19" x14ac:dyDescent="0.3">
      <c r="A61" s="7"/>
      <c r="B61" s="8"/>
      <c r="C61" s="8"/>
      <c r="D61" s="8"/>
      <c r="E61" s="8"/>
      <c r="F61" s="8"/>
      <c r="G61" s="8"/>
      <c r="H61" s="8"/>
      <c r="I61" s="9"/>
      <c r="J61" s="10"/>
      <c r="L61" s="8">
        <f t="shared" si="10"/>
        <v>0</v>
      </c>
      <c r="M61" s="8">
        <f t="shared" si="10"/>
        <v>0</v>
      </c>
      <c r="N61" s="8">
        <f t="shared" si="10"/>
        <v>0</v>
      </c>
      <c r="O61" s="8">
        <f t="shared" si="10"/>
        <v>0</v>
      </c>
      <c r="P61" s="8">
        <f t="shared" si="10"/>
        <v>0</v>
      </c>
      <c r="Q61" s="8">
        <f t="shared" si="10"/>
        <v>0</v>
      </c>
      <c r="R61" s="8">
        <f t="shared" si="10"/>
        <v>0</v>
      </c>
      <c r="S61" s="9">
        <f>I61*$J61</f>
        <v>0</v>
      </c>
    </row>
    <row r="62" spans="1:19" x14ac:dyDescent="0.3">
      <c r="A62" s="4" t="s">
        <v>193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/>
      <c r="K62" s="6"/>
      <c r="L62" s="5">
        <f>B62*$J62</f>
        <v>0</v>
      </c>
      <c r="M62" s="5">
        <f t="shared" si="10"/>
        <v>0</v>
      </c>
      <c r="N62" s="5">
        <f t="shared" si="10"/>
        <v>0</v>
      </c>
      <c r="O62" s="5">
        <f t="shared" si="10"/>
        <v>0</v>
      </c>
      <c r="P62" s="5">
        <f t="shared" si="10"/>
        <v>0</v>
      </c>
      <c r="Q62" s="5">
        <f t="shared" si="10"/>
        <v>0</v>
      </c>
      <c r="R62" s="5">
        <f t="shared" si="10"/>
        <v>0</v>
      </c>
      <c r="S62" s="5">
        <f t="shared" si="10"/>
        <v>0</v>
      </c>
    </row>
    <row r="63" spans="1:19" x14ac:dyDescent="0.3">
      <c r="A63" s="7" t="s">
        <v>12</v>
      </c>
      <c r="B63" s="8">
        <v>0</v>
      </c>
      <c r="C63" s="8">
        <v>9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9">
        <v>29</v>
      </c>
      <c r="J63" s="10"/>
      <c r="L63" s="8">
        <f t="shared" ref="L63:S73" si="18">B63*$J63</f>
        <v>0</v>
      </c>
      <c r="M63" s="8">
        <f t="shared" si="18"/>
        <v>0</v>
      </c>
      <c r="N63" s="8">
        <f t="shared" si="18"/>
        <v>0</v>
      </c>
      <c r="O63" s="8">
        <f t="shared" si="18"/>
        <v>0</v>
      </c>
      <c r="P63" s="8">
        <f t="shared" si="18"/>
        <v>0</v>
      </c>
      <c r="Q63" s="8">
        <f t="shared" si="18"/>
        <v>0</v>
      </c>
      <c r="R63" s="8">
        <f t="shared" si="18"/>
        <v>0</v>
      </c>
      <c r="S63" s="9">
        <f t="shared" si="18"/>
        <v>0</v>
      </c>
    </row>
    <row r="64" spans="1:19" x14ac:dyDescent="0.3">
      <c r="A64" s="7" t="s">
        <v>24</v>
      </c>
      <c r="B64" s="8">
        <v>1.1000000000000001</v>
      </c>
      <c r="C64" s="8">
        <v>23</v>
      </c>
      <c r="D64" s="8">
        <v>0</v>
      </c>
      <c r="E64" s="8">
        <v>0.3</v>
      </c>
      <c r="F64" s="8">
        <v>0.1</v>
      </c>
      <c r="G64" s="8">
        <v>2.6</v>
      </c>
      <c r="H64" s="8">
        <v>1E-3</v>
      </c>
      <c r="I64" s="9">
        <v>89</v>
      </c>
      <c r="J64" s="10"/>
      <c r="L64" s="8">
        <f t="shared" si="18"/>
        <v>0</v>
      </c>
      <c r="M64" s="8">
        <f t="shared" si="18"/>
        <v>0</v>
      </c>
      <c r="N64" s="8">
        <f t="shared" si="18"/>
        <v>0</v>
      </c>
      <c r="O64" s="8">
        <f t="shared" si="18"/>
        <v>0</v>
      </c>
      <c r="P64" s="8">
        <f t="shared" si="18"/>
        <v>0</v>
      </c>
      <c r="Q64" s="8">
        <f t="shared" si="18"/>
        <v>0</v>
      </c>
      <c r="R64" s="8">
        <f t="shared" si="18"/>
        <v>0</v>
      </c>
      <c r="S64" s="9">
        <f t="shared" si="18"/>
        <v>0</v>
      </c>
    </row>
    <row r="65" spans="1:19" ht="24" x14ac:dyDescent="0.3">
      <c r="A65" s="7" t="s">
        <v>66</v>
      </c>
      <c r="B65" s="8">
        <v>0.6</v>
      </c>
      <c r="C65" s="8">
        <v>19</v>
      </c>
      <c r="D65" s="8">
        <v>0</v>
      </c>
      <c r="E65" s="8">
        <v>0.2</v>
      </c>
      <c r="F65" s="8">
        <v>0</v>
      </c>
      <c r="G65" s="8">
        <v>4.2</v>
      </c>
      <c r="H65" s="8">
        <v>0</v>
      </c>
      <c r="I65" s="9">
        <v>75</v>
      </c>
      <c r="J65" s="10"/>
      <c r="L65" s="8">
        <f t="shared" si="18"/>
        <v>0</v>
      </c>
      <c r="M65" s="8">
        <f t="shared" si="18"/>
        <v>0</v>
      </c>
      <c r="N65" s="8">
        <f t="shared" si="18"/>
        <v>0</v>
      </c>
      <c r="O65" s="8">
        <f t="shared" si="18"/>
        <v>0</v>
      </c>
      <c r="P65" s="8">
        <f t="shared" si="18"/>
        <v>0</v>
      </c>
      <c r="Q65" s="8">
        <f t="shared" si="18"/>
        <v>0</v>
      </c>
      <c r="R65" s="8">
        <f t="shared" si="18"/>
        <v>0</v>
      </c>
      <c r="S65" s="9">
        <f t="shared" si="18"/>
        <v>0</v>
      </c>
    </row>
    <row r="66" spans="1:19" x14ac:dyDescent="0.3">
      <c r="A66" s="7" t="s">
        <v>20</v>
      </c>
      <c r="B66" s="8">
        <v>1.1000000000000001</v>
      </c>
      <c r="C66" s="8">
        <v>15</v>
      </c>
      <c r="D66" s="8">
        <v>0</v>
      </c>
      <c r="E66" s="8">
        <v>0.5</v>
      </c>
      <c r="F66" s="8">
        <v>0</v>
      </c>
      <c r="G66" s="8">
        <v>3</v>
      </c>
      <c r="H66" s="8">
        <v>3.0000000000000001E-3</v>
      </c>
      <c r="I66" s="9">
        <v>61</v>
      </c>
      <c r="J66" s="10"/>
      <c r="L66" s="8">
        <f t="shared" si="18"/>
        <v>0</v>
      </c>
      <c r="M66" s="8">
        <f t="shared" si="18"/>
        <v>0</v>
      </c>
      <c r="N66" s="8">
        <f t="shared" si="18"/>
        <v>0</v>
      </c>
      <c r="O66" s="8">
        <f t="shared" si="18"/>
        <v>0</v>
      </c>
      <c r="P66" s="8">
        <f t="shared" si="18"/>
        <v>0</v>
      </c>
      <c r="Q66" s="8">
        <f t="shared" si="18"/>
        <v>0</v>
      </c>
      <c r="R66" s="8">
        <f t="shared" si="18"/>
        <v>0</v>
      </c>
      <c r="S66" s="9">
        <f t="shared" si="18"/>
        <v>0</v>
      </c>
    </row>
    <row r="67" spans="1:19" x14ac:dyDescent="0.3">
      <c r="A67" s="7" t="s">
        <v>51</v>
      </c>
      <c r="B67" s="8">
        <v>0.3</v>
      </c>
      <c r="C67" s="8">
        <v>14</v>
      </c>
      <c r="D67" s="8">
        <v>0</v>
      </c>
      <c r="E67" s="8">
        <v>0.2</v>
      </c>
      <c r="F67" s="8">
        <v>0</v>
      </c>
      <c r="G67" s="8">
        <v>2.4</v>
      </c>
      <c r="H67" s="8">
        <v>0.01</v>
      </c>
      <c r="I67" s="9">
        <v>52</v>
      </c>
      <c r="J67" s="10"/>
      <c r="L67" s="8">
        <f t="shared" si="18"/>
        <v>0</v>
      </c>
      <c r="M67" s="8">
        <f t="shared" si="18"/>
        <v>0</v>
      </c>
      <c r="N67" s="8">
        <f t="shared" si="18"/>
        <v>0</v>
      </c>
      <c r="O67" s="8">
        <f t="shared" si="18"/>
        <v>0</v>
      </c>
      <c r="P67" s="8">
        <f t="shared" si="18"/>
        <v>0</v>
      </c>
      <c r="Q67" s="8">
        <f t="shared" si="18"/>
        <v>0</v>
      </c>
      <c r="R67" s="8">
        <f t="shared" si="18"/>
        <v>0</v>
      </c>
      <c r="S67" s="9">
        <f t="shared" si="18"/>
        <v>0</v>
      </c>
    </row>
    <row r="68" spans="1:19" x14ac:dyDescent="0.3">
      <c r="A68" s="7" t="s">
        <v>52</v>
      </c>
      <c r="B68" s="8">
        <v>0.4</v>
      </c>
      <c r="C68" s="8">
        <v>12</v>
      </c>
      <c r="D68" s="8">
        <v>0</v>
      </c>
      <c r="E68" s="8">
        <v>0.5</v>
      </c>
      <c r="F68" s="8">
        <v>0</v>
      </c>
      <c r="G68" s="8">
        <v>2.9</v>
      </c>
      <c r="H68" s="8">
        <v>0</v>
      </c>
      <c r="I68" s="9">
        <v>61</v>
      </c>
      <c r="J68" s="10"/>
      <c r="L68" s="8">
        <f t="shared" si="18"/>
        <v>0</v>
      </c>
      <c r="M68" s="8">
        <f t="shared" si="18"/>
        <v>0</v>
      </c>
      <c r="N68" s="8">
        <f t="shared" si="18"/>
        <v>0</v>
      </c>
      <c r="O68" s="8">
        <f t="shared" si="18"/>
        <v>0</v>
      </c>
      <c r="P68" s="8">
        <f t="shared" si="18"/>
        <v>0</v>
      </c>
      <c r="Q68" s="8">
        <f t="shared" si="18"/>
        <v>0</v>
      </c>
      <c r="R68" s="8">
        <f t="shared" si="18"/>
        <v>0</v>
      </c>
      <c r="S68" s="9">
        <f t="shared" si="18"/>
        <v>0</v>
      </c>
    </row>
    <row r="69" spans="1:19" x14ac:dyDescent="0.3">
      <c r="A69" s="7" t="s">
        <v>53</v>
      </c>
      <c r="B69" s="8">
        <v>1.9</v>
      </c>
      <c r="C69" s="8">
        <v>25</v>
      </c>
      <c r="D69" s="8">
        <v>0</v>
      </c>
      <c r="E69" s="8">
        <v>0.4</v>
      </c>
      <c r="F69" s="8">
        <v>0</v>
      </c>
      <c r="G69" s="8">
        <v>5</v>
      </c>
      <c r="H69" s="8">
        <v>3.0000000000000001E-3</v>
      </c>
      <c r="I69" s="9">
        <v>99</v>
      </c>
      <c r="J69" s="10"/>
      <c r="L69" s="8">
        <f t="shared" si="18"/>
        <v>0</v>
      </c>
      <c r="M69" s="8">
        <f t="shared" si="18"/>
        <v>0</v>
      </c>
      <c r="N69" s="8">
        <f t="shared" si="18"/>
        <v>0</v>
      </c>
      <c r="O69" s="8">
        <f t="shared" si="18"/>
        <v>0</v>
      </c>
      <c r="P69" s="8">
        <f t="shared" si="18"/>
        <v>0</v>
      </c>
      <c r="Q69" s="8">
        <f t="shared" si="18"/>
        <v>0</v>
      </c>
      <c r="R69" s="8">
        <f t="shared" si="18"/>
        <v>0</v>
      </c>
      <c r="S69" s="9">
        <f t="shared" si="18"/>
        <v>0</v>
      </c>
    </row>
    <row r="70" spans="1:19" x14ac:dyDescent="0.3">
      <c r="A70" s="7" t="s">
        <v>17</v>
      </c>
      <c r="B70" s="8">
        <v>0.7</v>
      </c>
      <c r="C70" s="8">
        <v>14.5</v>
      </c>
      <c r="D70" s="8">
        <v>0</v>
      </c>
      <c r="E70" s="8">
        <v>0.3</v>
      </c>
      <c r="F70" s="8">
        <v>0</v>
      </c>
      <c r="G70" s="8">
        <v>2.4</v>
      </c>
      <c r="H70" s="8">
        <v>0.01</v>
      </c>
      <c r="I70" s="9">
        <v>57</v>
      </c>
      <c r="J70" s="10"/>
      <c r="L70" s="8">
        <f t="shared" si="18"/>
        <v>0</v>
      </c>
      <c r="M70" s="8">
        <f t="shared" si="18"/>
        <v>0</v>
      </c>
      <c r="N70" s="8">
        <f t="shared" si="18"/>
        <v>0</v>
      </c>
      <c r="O70" s="8">
        <f t="shared" si="18"/>
        <v>0</v>
      </c>
      <c r="P70" s="8">
        <f t="shared" si="18"/>
        <v>0</v>
      </c>
      <c r="Q70" s="8">
        <f t="shared" si="18"/>
        <v>0</v>
      </c>
      <c r="R70" s="8">
        <f t="shared" si="18"/>
        <v>0</v>
      </c>
      <c r="S70" s="9">
        <f t="shared" si="18"/>
        <v>0</v>
      </c>
    </row>
    <row r="71" spans="1:19" x14ac:dyDescent="0.3">
      <c r="A71" s="7"/>
      <c r="B71" s="8"/>
      <c r="C71" s="8"/>
      <c r="D71" s="8"/>
      <c r="E71" s="8"/>
      <c r="F71" s="8"/>
      <c r="G71" s="8"/>
      <c r="H71" s="8"/>
      <c r="I71" s="9"/>
      <c r="J71" s="10"/>
      <c r="L71" s="8">
        <f t="shared" si="18"/>
        <v>0</v>
      </c>
      <c r="M71" s="8">
        <f t="shared" si="18"/>
        <v>0</v>
      </c>
      <c r="N71" s="8">
        <f t="shared" si="18"/>
        <v>0</v>
      </c>
      <c r="O71" s="8">
        <f t="shared" si="18"/>
        <v>0</v>
      </c>
      <c r="P71" s="8">
        <f t="shared" si="18"/>
        <v>0</v>
      </c>
      <c r="Q71" s="8">
        <f t="shared" si="18"/>
        <v>0</v>
      </c>
      <c r="R71" s="8">
        <f t="shared" si="18"/>
        <v>0</v>
      </c>
      <c r="S71" s="9">
        <f t="shared" si="18"/>
        <v>0</v>
      </c>
    </row>
    <row r="72" spans="1:19" x14ac:dyDescent="0.3">
      <c r="A72" s="7"/>
      <c r="B72" s="8"/>
      <c r="C72" s="8"/>
      <c r="D72" s="8"/>
      <c r="E72" s="8"/>
      <c r="F72" s="8"/>
      <c r="G72" s="8"/>
      <c r="H72" s="8"/>
      <c r="I72" s="9"/>
      <c r="J72" s="10"/>
      <c r="L72" s="8">
        <f t="shared" si="18"/>
        <v>0</v>
      </c>
      <c r="M72" s="8">
        <f t="shared" si="18"/>
        <v>0</v>
      </c>
      <c r="N72" s="8">
        <f t="shared" si="18"/>
        <v>0</v>
      </c>
      <c r="O72" s="8">
        <f t="shared" si="18"/>
        <v>0</v>
      </c>
      <c r="P72" s="8">
        <f t="shared" si="18"/>
        <v>0</v>
      </c>
      <c r="Q72" s="8">
        <f t="shared" si="18"/>
        <v>0</v>
      </c>
      <c r="R72" s="8">
        <f t="shared" si="18"/>
        <v>0</v>
      </c>
      <c r="S72" s="9">
        <f t="shared" si="18"/>
        <v>0</v>
      </c>
    </row>
    <row r="73" spans="1:19" x14ac:dyDescent="0.3">
      <c r="A73" s="4" t="s">
        <v>194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/>
      <c r="K73" s="6"/>
      <c r="L73" s="5">
        <f>B73*$J73</f>
        <v>0</v>
      </c>
      <c r="M73" s="5">
        <f t="shared" si="18"/>
        <v>0</v>
      </c>
      <c r="N73" s="5">
        <f t="shared" si="18"/>
        <v>0</v>
      </c>
      <c r="O73" s="5">
        <f t="shared" si="18"/>
        <v>0</v>
      </c>
      <c r="P73" s="5">
        <f t="shared" si="18"/>
        <v>0</v>
      </c>
      <c r="Q73" s="5">
        <f t="shared" si="18"/>
        <v>0</v>
      </c>
      <c r="R73" s="5">
        <f t="shared" si="18"/>
        <v>0</v>
      </c>
      <c r="S73" s="5">
        <f t="shared" si="18"/>
        <v>0</v>
      </c>
    </row>
    <row r="74" spans="1:19" ht="24" x14ac:dyDescent="0.3">
      <c r="A74" s="7" t="s">
        <v>57</v>
      </c>
      <c r="B74" s="8">
        <v>1.4</v>
      </c>
      <c r="C74" s="8">
        <v>6.48</v>
      </c>
      <c r="D74" s="8">
        <v>0.1</v>
      </c>
      <c r="E74" s="8">
        <v>0.22</v>
      </c>
      <c r="F74" s="8">
        <v>0.05</v>
      </c>
      <c r="G74" s="8">
        <v>1</v>
      </c>
      <c r="H74" s="8">
        <v>1E-3</v>
      </c>
      <c r="I74" s="9">
        <v>35.700000000000003</v>
      </c>
      <c r="J74" s="10"/>
      <c r="L74" s="8">
        <f t="shared" ref="L74:S80" si="19">B74*$J74</f>
        <v>0</v>
      </c>
      <c r="M74" s="8">
        <f t="shared" si="19"/>
        <v>0</v>
      </c>
      <c r="N74" s="8">
        <f t="shared" si="19"/>
        <v>0</v>
      </c>
      <c r="O74" s="8">
        <f t="shared" si="19"/>
        <v>0</v>
      </c>
      <c r="P74" s="8">
        <f t="shared" si="19"/>
        <v>0</v>
      </c>
      <c r="Q74" s="8">
        <f t="shared" si="19"/>
        <v>0</v>
      </c>
      <c r="R74" s="8">
        <f t="shared" si="19"/>
        <v>0</v>
      </c>
      <c r="S74" s="9">
        <f t="shared" si="19"/>
        <v>0</v>
      </c>
    </row>
    <row r="75" spans="1:19" x14ac:dyDescent="0.3">
      <c r="A75" s="7" t="s">
        <v>55</v>
      </c>
      <c r="B75" s="8">
        <v>17</v>
      </c>
      <c r="C75" s="8">
        <v>10.1</v>
      </c>
      <c r="D75" s="8">
        <v>7.2</v>
      </c>
      <c r="E75" s="8">
        <v>4</v>
      </c>
      <c r="F75" s="8">
        <v>3</v>
      </c>
      <c r="G75" s="8">
        <v>1.8</v>
      </c>
      <c r="H75" s="8">
        <v>0.5</v>
      </c>
      <c r="I75" s="9">
        <v>149</v>
      </c>
      <c r="J75" s="10"/>
      <c r="L75" s="8">
        <f t="shared" si="19"/>
        <v>0</v>
      </c>
      <c r="M75" s="8">
        <f t="shared" si="19"/>
        <v>0</v>
      </c>
      <c r="N75" s="8">
        <f t="shared" si="19"/>
        <v>0</v>
      </c>
      <c r="O75" s="8">
        <f t="shared" si="19"/>
        <v>0</v>
      </c>
      <c r="P75" s="8">
        <f t="shared" si="19"/>
        <v>0</v>
      </c>
      <c r="Q75" s="8">
        <f t="shared" si="19"/>
        <v>0</v>
      </c>
      <c r="R75" s="8">
        <f t="shared" si="19"/>
        <v>0</v>
      </c>
      <c r="S75" s="9">
        <f t="shared" si="19"/>
        <v>0</v>
      </c>
    </row>
    <row r="76" spans="1:19" x14ac:dyDescent="0.3">
      <c r="A76" s="7" t="s">
        <v>56</v>
      </c>
      <c r="B76" s="8">
        <v>15</v>
      </c>
      <c r="C76" s="8">
        <v>9.6</v>
      </c>
      <c r="D76" s="8">
        <v>4.8</v>
      </c>
      <c r="E76" s="8">
        <v>3</v>
      </c>
      <c r="F76" s="8">
        <v>1.95</v>
      </c>
      <c r="G76" s="8">
        <v>2.7</v>
      </c>
      <c r="H76" s="8">
        <v>0.435</v>
      </c>
      <c r="I76" s="9">
        <v>130.5</v>
      </c>
      <c r="J76" s="10"/>
      <c r="L76" s="8">
        <f t="shared" si="19"/>
        <v>0</v>
      </c>
      <c r="M76" s="8">
        <f t="shared" si="19"/>
        <v>0</v>
      </c>
      <c r="N76" s="8">
        <f t="shared" si="19"/>
        <v>0</v>
      </c>
      <c r="O76" s="8">
        <f t="shared" si="19"/>
        <v>0</v>
      </c>
      <c r="P76" s="8">
        <f t="shared" si="19"/>
        <v>0</v>
      </c>
      <c r="Q76" s="8">
        <f t="shared" si="19"/>
        <v>0</v>
      </c>
      <c r="R76" s="8">
        <f t="shared" si="19"/>
        <v>0</v>
      </c>
      <c r="S76" s="9">
        <f t="shared" si="19"/>
        <v>0</v>
      </c>
    </row>
    <row r="77" spans="1:19" x14ac:dyDescent="0.3">
      <c r="A77" s="7" t="s">
        <v>67</v>
      </c>
      <c r="B77" s="8">
        <v>10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0.13</v>
      </c>
      <c r="I77" s="9">
        <v>40</v>
      </c>
      <c r="J77" s="10"/>
      <c r="L77" s="8">
        <f t="shared" si="19"/>
        <v>0</v>
      </c>
      <c r="M77" s="8">
        <f t="shared" si="19"/>
        <v>0</v>
      </c>
      <c r="N77" s="8">
        <f t="shared" si="19"/>
        <v>0</v>
      </c>
      <c r="O77" s="8">
        <f t="shared" si="19"/>
        <v>0</v>
      </c>
      <c r="P77" s="8">
        <f t="shared" si="19"/>
        <v>0</v>
      </c>
      <c r="Q77" s="8">
        <f t="shared" si="19"/>
        <v>0</v>
      </c>
      <c r="R77" s="8">
        <f t="shared" si="19"/>
        <v>0</v>
      </c>
      <c r="S77" s="9">
        <f t="shared" si="19"/>
        <v>0</v>
      </c>
    </row>
    <row r="78" spans="1:19" x14ac:dyDescent="0.3">
      <c r="A78" s="7" t="s">
        <v>139</v>
      </c>
      <c r="B78" s="8">
        <v>1.8</v>
      </c>
      <c r="C78" s="8">
        <v>0.6</v>
      </c>
      <c r="D78" s="8">
        <v>0</v>
      </c>
      <c r="E78" s="8">
        <v>0</v>
      </c>
      <c r="F78" s="8">
        <v>0</v>
      </c>
      <c r="G78" s="8">
        <v>0</v>
      </c>
      <c r="H78" s="8">
        <v>0.14000000000000001</v>
      </c>
      <c r="I78" s="9">
        <v>9</v>
      </c>
      <c r="J78" s="10"/>
      <c r="L78" s="8">
        <f t="shared" si="19"/>
        <v>0</v>
      </c>
      <c r="M78" s="8">
        <f t="shared" si="19"/>
        <v>0</v>
      </c>
      <c r="N78" s="8">
        <f t="shared" si="19"/>
        <v>0</v>
      </c>
      <c r="O78" s="8">
        <f t="shared" si="19"/>
        <v>0</v>
      </c>
      <c r="P78" s="8">
        <f t="shared" si="19"/>
        <v>0</v>
      </c>
      <c r="Q78" s="8">
        <f t="shared" si="19"/>
        <v>0</v>
      </c>
      <c r="R78" s="8">
        <f t="shared" si="19"/>
        <v>0</v>
      </c>
      <c r="S78" s="9">
        <f t="shared" si="19"/>
        <v>0</v>
      </c>
    </row>
    <row r="79" spans="1:19" ht="24" x14ac:dyDescent="0.3">
      <c r="A79" s="7" t="s">
        <v>69</v>
      </c>
      <c r="B79" s="8">
        <v>27</v>
      </c>
      <c r="C79" s="8">
        <v>21</v>
      </c>
      <c r="D79" s="8">
        <v>11</v>
      </c>
      <c r="E79" s="8">
        <v>9.1999999999999993</v>
      </c>
      <c r="F79" s="8">
        <v>2.2000000000000002</v>
      </c>
      <c r="G79" s="8">
        <v>5.3</v>
      </c>
      <c r="H79" s="8">
        <v>2.8</v>
      </c>
      <c r="I79" s="9">
        <v>288</v>
      </c>
      <c r="J79" s="10"/>
      <c r="L79" s="8">
        <f t="shared" si="19"/>
        <v>0</v>
      </c>
      <c r="M79" s="8">
        <f t="shared" si="19"/>
        <v>0</v>
      </c>
      <c r="N79" s="8">
        <f t="shared" si="19"/>
        <v>0</v>
      </c>
      <c r="O79" s="8">
        <f t="shared" si="19"/>
        <v>0</v>
      </c>
      <c r="P79" s="8">
        <f t="shared" si="19"/>
        <v>0</v>
      </c>
      <c r="Q79" s="8">
        <f t="shared" si="19"/>
        <v>0</v>
      </c>
      <c r="R79" s="8">
        <f t="shared" si="19"/>
        <v>0</v>
      </c>
      <c r="S79" s="9">
        <f t="shared" si="19"/>
        <v>0</v>
      </c>
    </row>
    <row r="80" spans="1:19" x14ac:dyDescent="0.3">
      <c r="A80" s="7"/>
      <c r="B80" s="8"/>
      <c r="C80" s="8"/>
      <c r="D80" s="8"/>
      <c r="E80" s="8"/>
      <c r="F80" s="8"/>
      <c r="G80" s="8"/>
      <c r="H80" s="8"/>
      <c r="I80" s="9"/>
      <c r="J80" s="10"/>
      <c r="L80" s="8">
        <f t="shared" si="19"/>
        <v>0</v>
      </c>
      <c r="M80" s="8">
        <f t="shared" si="19"/>
        <v>0</v>
      </c>
      <c r="N80" s="8">
        <f t="shared" si="19"/>
        <v>0</v>
      </c>
      <c r="O80" s="8">
        <f t="shared" si="19"/>
        <v>0</v>
      </c>
      <c r="P80" s="8">
        <f t="shared" si="19"/>
        <v>0</v>
      </c>
      <c r="Q80" s="8">
        <f t="shared" si="19"/>
        <v>0</v>
      </c>
      <c r="R80" s="8">
        <f t="shared" si="19"/>
        <v>0</v>
      </c>
      <c r="S80" s="9">
        <f t="shared" si="19"/>
        <v>0</v>
      </c>
    </row>
    <row r="82" spans="9:22" x14ac:dyDescent="0.3">
      <c r="K82" s="14" t="s">
        <v>70</v>
      </c>
      <c r="L82" s="2" t="s">
        <v>1</v>
      </c>
      <c r="M82" s="2" t="s">
        <v>2</v>
      </c>
      <c r="N82" s="2" t="s">
        <v>3</v>
      </c>
      <c r="O82" s="2" t="s">
        <v>4</v>
      </c>
      <c r="P82" s="2" t="s">
        <v>5</v>
      </c>
      <c r="Q82" s="2" t="s">
        <v>6</v>
      </c>
      <c r="R82" s="2" t="s">
        <v>7</v>
      </c>
      <c r="S82" s="3" t="s">
        <v>8</v>
      </c>
      <c r="T82" s="15" t="s">
        <v>71</v>
      </c>
      <c r="U82" s="16"/>
      <c r="V82" s="16"/>
    </row>
    <row r="83" spans="9:22" x14ac:dyDescent="0.3">
      <c r="L83">
        <f t="shared" ref="L83:S83" si="20">SUM(L3:L80)</f>
        <v>0</v>
      </c>
      <c r="M83">
        <f t="shared" si="20"/>
        <v>0</v>
      </c>
      <c r="N83">
        <f t="shared" si="20"/>
        <v>0</v>
      </c>
      <c r="O83">
        <f t="shared" si="20"/>
        <v>0</v>
      </c>
      <c r="P83">
        <f t="shared" si="20"/>
        <v>0</v>
      </c>
      <c r="Q83">
        <f t="shared" si="20"/>
        <v>0</v>
      </c>
      <c r="R83">
        <f t="shared" si="20"/>
        <v>0</v>
      </c>
      <c r="S83">
        <f t="shared" si="20"/>
        <v>0</v>
      </c>
      <c r="T83" s="17">
        <f>SUM(L83:R83)*0.1</f>
        <v>0</v>
      </c>
      <c r="U83" s="18">
        <f>T83/2</f>
        <v>0</v>
      </c>
      <c r="V83" t="s">
        <v>72</v>
      </c>
    </row>
    <row r="85" spans="9:22" ht="14.55" customHeight="1" x14ac:dyDescent="0.3">
      <c r="I85" s="33" t="s">
        <v>73</v>
      </c>
      <c r="J85" s="33"/>
      <c r="K85" t="s">
        <v>74</v>
      </c>
      <c r="L85" s="19" t="s">
        <v>75</v>
      </c>
      <c r="M85" s="19" t="s">
        <v>76</v>
      </c>
      <c r="N85" s="20" t="s">
        <v>77</v>
      </c>
      <c r="O85" s="19" t="s">
        <v>78</v>
      </c>
      <c r="P85" s="20" t="s">
        <v>79</v>
      </c>
      <c r="Q85" s="19" t="s">
        <v>80</v>
      </c>
      <c r="R85" s="20" t="s">
        <v>81</v>
      </c>
      <c r="S85" s="19" t="s">
        <v>82</v>
      </c>
    </row>
    <row r="86" spans="9:22" x14ac:dyDescent="0.3">
      <c r="I86" s="33"/>
      <c r="J86" s="33"/>
      <c r="K86" t="s">
        <v>83</v>
      </c>
      <c r="L86" t="s">
        <v>84</v>
      </c>
      <c r="M86" t="s">
        <v>85</v>
      </c>
      <c r="N86" s="21" t="s">
        <v>86</v>
      </c>
      <c r="O86" t="s">
        <v>87</v>
      </c>
      <c r="P86" s="21" t="s">
        <v>88</v>
      </c>
      <c r="Q86" t="s">
        <v>89</v>
      </c>
      <c r="R86" s="20" t="s">
        <v>81</v>
      </c>
      <c r="S86" t="s">
        <v>90</v>
      </c>
    </row>
    <row r="87" spans="9:22" x14ac:dyDescent="0.3">
      <c r="I87" s="33"/>
      <c r="J87" s="33"/>
      <c r="K87" t="s">
        <v>91</v>
      </c>
      <c r="L87" t="s">
        <v>92</v>
      </c>
      <c r="M87" t="s">
        <v>93</v>
      </c>
      <c r="N87" s="21" t="s">
        <v>94</v>
      </c>
      <c r="O87" t="s">
        <v>95</v>
      </c>
      <c r="P87" s="21" t="s">
        <v>96</v>
      </c>
      <c r="Q87" t="s">
        <v>89</v>
      </c>
      <c r="R87" s="20" t="s">
        <v>81</v>
      </c>
      <c r="S87" t="s">
        <v>97</v>
      </c>
    </row>
    <row r="88" spans="9:22" x14ac:dyDescent="0.3">
      <c r="N88" t="s">
        <v>98</v>
      </c>
    </row>
    <row r="89" spans="9:22" x14ac:dyDescent="0.3">
      <c r="I89" t="s">
        <v>99</v>
      </c>
    </row>
  </sheetData>
  <mergeCells count="2">
    <mergeCell ref="J1:K1"/>
    <mergeCell ref="I85:J8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A374D-0B97-4764-9D16-B69128955BC2}">
  <dimension ref="A1:V89"/>
  <sheetViews>
    <sheetView zoomScale="90" zoomScaleNormal="90" workbookViewId="0">
      <pane ySplit="1" topLeftCell="A68" activePane="bottomLeft" state="frozen"/>
      <selection pane="bottomLeft" activeCell="Q83" sqref="Q83"/>
    </sheetView>
  </sheetViews>
  <sheetFormatPr defaultRowHeight="14.4" x14ac:dyDescent="0.3"/>
  <cols>
    <col min="1" max="1" width="21.5546875" customWidth="1"/>
    <col min="2" max="2" width="7.5546875" customWidth="1"/>
    <col min="3" max="3" width="6.77734375" customWidth="1"/>
    <col min="4" max="4" width="7.44140625" customWidth="1"/>
    <col min="5" max="5" width="6.5546875" customWidth="1"/>
    <col min="6" max="6" width="7.21875" customWidth="1"/>
    <col min="7" max="8" width="5.5546875" customWidth="1"/>
    <col min="9" max="9" width="7.5546875" customWidth="1"/>
    <col min="10" max="10" width="6.77734375" customWidth="1"/>
    <col min="11" max="11" width="7.21875" customWidth="1"/>
    <col min="12" max="12" width="7.44140625" customWidth="1"/>
    <col min="13" max="13" width="7" customWidth="1"/>
    <col min="14" max="14" width="8.44140625" customWidth="1"/>
    <col min="15" max="15" width="7.21875" customWidth="1"/>
    <col min="16" max="16" width="6.5546875" customWidth="1"/>
    <col min="17" max="17" width="6.21875" customWidth="1"/>
    <col min="18" max="18" width="5" customWidth="1"/>
    <col min="19" max="19" width="7.44140625" customWidth="1"/>
    <col min="20" max="20" width="6.88671875" customWidth="1"/>
    <col min="21" max="21" width="6.44140625" customWidth="1"/>
    <col min="22" max="22" width="9.109375" customWidth="1"/>
  </cols>
  <sheetData>
    <row r="1" spans="1:19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1" t="s">
        <v>9</v>
      </c>
      <c r="K1" s="32"/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  <c r="Q1" s="2" t="s">
        <v>6</v>
      </c>
      <c r="R1" s="2" t="s">
        <v>7</v>
      </c>
      <c r="S1" s="3" t="s">
        <v>8</v>
      </c>
    </row>
    <row r="2" spans="1:19" x14ac:dyDescent="0.3">
      <c r="A2" s="4" t="s">
        <v>186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/>
      <c r="K2" s="6"/>
      <c r="L2" s="5">
        <f>B2*$J2</f>
        <v>0</v>
      </c>
      <c r="M2" s="5">
        <f t="shared" ref="M2:S21" si="0">C2*$J2</f>
        <v>0</v>
      </c>
      <c r="N2" s="5">
        <f t="shared" si="0"/>
        <v>0</v>
      </c>
      <c r="O2" s="5">
        <f t="shared" si="0"/>
        <v>0</v>
      </c>
      <c r="P2" s="5">
        <f t="shared" si="0"/>
        <v>0</v>
      </c>
      <c r="Q2" s="5">
        <f t="shared" si="0"/>
        <v>0</v>
      </c>
      <c r="R2" s="5">
        <f t="shared" si="0"/>
        <v>0</v>
      </c>
      <c r="S2" s="5">
        <f t="shared" si="0"/>
        <v>0</v>
      </c>
    </row>
    <row r="3" spans="1:19" ht="22.5" customHeight="1" x14ac:dyDescent="0.3">
      <c r="A3" s="7" t="s">
        <v>182</v>
      </c>
      <c r="B3" s="8">
        <v>20</v>
      </c>
      <c r="C3" s="8">
        <v>2.5</v>
      </c>
      <c r="D3" s="8">
        <v>1.6</v>
      </c>
      <c r="E3" s="8">
        <v>1.4</v>
      </c>
      <c r="F3" s="8">
        <v>1</v>
      </c>
      <c r="G3" s="8">
        <v>0</v>
      </c>
      <c r="H3" s="8">
        <v>0.31</v>
      </c>
      <c r="I3" s="9">
        <v>105</v>
      </c>
      <c r="J3" s="10">
        <v>2</v>
      </c>
      <c r="L3" s="8">
        <f t="shared" ref="L3:L4" si="1">B3*$J3</f>
        <v>40</v>
      </c>
      <c r="M3" s="8">
        <f t="shared" si="0"/>
        <v>5</v>
      </c>
      <c r="N3" s="8">
        <f t="shared" si="0"/>
        <v>3.2</v>
      </c>
      <c r="O3" s="8">
        <f t="shared" si="0"/>
        <v>2.8</v>
      </c>
      <c r="P3" s="8">
        <f t="shared" si="0"/>
        <v>2</v>
      </c>
      <c r="Q3" s="8">
        <f t="shared" si="0"/>
        <v>0</v>
      </c>
      <c r="R3" s="8">
        <f t="shared" si="0"/>
        <v>0.62</v>
      </c>
      <c r="S3" s="9">
        <f t="shared" si="0"/>
        <v>210</v>
      </c>
    </row>
    <row r="4" spans="1:19" ht="25.2" customHeight="1" x14ac:dyDescent="0.3">
      <c r="A4" s="7" t="s">
        <v>181</v>
      </c>
      <c r="B4" s="8">
        <v>25</v>
      </c>
      <c r="C4" s="8">
        <v>2.2000000000000002</v>
      </c>
      <c r="D4" s="8">
        <v>1.2</v>
      </c>
      <c r="E4" s="8">
        <v>1</v>
      </c>
      <c r="F4" s="8">
        <v>0.3</v>
      </c>
      <c r="G4" s="8">
        <v>0</v>
      </c>
      <c r="H4" s="8">
        <v>0.37</v>
      </c>
      <c r="I4" s="9">
        <v>115</v>
      </c>
      <c r="J4" s="10"/>
      <c r="L4" s="8">
        <f t="shared" si="1"/>
        <v>0</v>
      </c>
      <c r="M4" s="8">
        <f t="shared" si="0"/>
        <v>0</v>
      </c>
      <c r="N4" s="8">
        <f t="shared" si="0"/>
        <v>0</v>
      </c>
      <c r="O4" s="8">
        <f t="shared" si="0"/>
        <v>0</v>
      </c>
      <c r="P4" s="8">
        <f t="shared" si="0"/>
        <v>0</v>
      </c>
      <c r="Q4" s="8">
        <f t="shared" si="0"/>
        <v>0</v>
      </c>
      <c r="R4" s="8">
        <f t="shared" si="0"/>
        <v>0</v>
      </c>
      <c r="S4" s="9">
        <f t="shared" si="0"/>
        <v>0</v>
      </c>
    </row>
    <row r="5" spans="1:19" x14ac:dyDescent="0.3">
      <c r="A5" s="4" t="s">
        <v>187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/>
      <c r="K5" s="6"/>
      <c r="L5" s="5">
        <f>B5*$J5</f>
        <v>0</v>
      </c>
      <c r="M5" s="5">
        <f t="shared" si="0"/>
        <v>0</v>
      </c>
      <c r="N5" s="5">
        <f t="shared" si="0"/>
        <v>0</v>
      </c>
      <c r="O5" s="5">
        <f t="shared" si="0"/>
        <v>0</v>
      </c>
      <c r="P5" s="5">
        <f t="shared" si="0"/>
        <v>0</v>
      </c>
      <c r="Q5" s="5">
        <f t="shared" si="0"/>
        <v>0</v>
      </c>
      <c r="R5" s="5">
        <f t="shared" si="0"/>
        <v>0</v>
      </c>
      <c r="S5" s="5">
        <f t="shared" si="0"/>
        <v>0</v>
      </c>
    </row>
    <row r="6" spans="1:19" x14ac:dyDescent="0.3">
      <c r="A6" s="7" t="s">
        <v>11</v>
      </c>
      <c r="B6" s="8">
        <v>0</v>
      </c>
      <c r="C6" s="8">
        <v>0</v>
      </c>
      <c r="D6" s="8">
        <v>0</v>
      </c>
      <c r="E6" s="8">
        <v>15</v>
      </c>
      <c r="F6" s="8">
        <v>2</v>
      </c>
      <c r="G6" s="8">
        <v>0</v>
      </c>
      <c r="H6" s="8">
        <v>0</v>
      </c>
      <c r="I6" s="9">
        <v>125</v>
      </c>
      <c r="J6" s="10">
        <v>1</v>
      </c>
      <c r="L6" s="8">
        <f t="shared" ref="L6:S15" si="2">B6*$J6</f>
        <v>0</v>
      </c>
      <c r="M6" s="8">
        <f t="shared" si="2"/>
        <v>0</v>
      </c>
      <c r="N6" s="8">
        <f t="shared" si="2"/>
        <v>0</v>
      </c>
      <c r="O6" s="8">
        <f t="shared" si="2"/>
        <v>15</v>
      </c>
      <c r="P6" s="8">
        <f t="shared" si="2"/>
        <v>2</v>
      </c>
      <c r="Q6" s="8">
        <f t="shared" si="2"/>
        <v>0</v>
      </c>
      <c r="R6" s="8">
        <f t="shared" si="2"/>
        <v>0</v>
      </c>
      <c r="S6" s="9">
        <f t="shared" si="2"/>
        <v>125</v>
      </c>
    </row>
    <row r="7" spans="1:19" x14ac:dyDescent="0.3">
      <c r="A7" s="7" t="s">
        <v>105</v>
      </c>
      <c r="B7" s="8">
        <v>0.5</v>
      </c>
      <c r="C7" s="8">
        <v>0.1</v>
      </c>
      <c r="D7" s="8">
        <v>0</v>
      </c>
      <c r="E7" s="8">
        <v>13</v>
      </c>
      <c r="F7" s="8">
        <v>2.2000000000000002</v>
      </c>
      <c r="G7" s="8">
        <v>3</v>
      </c>
      <c r="H7" s="8">
        <v>2.5</v>
      </c>
      <c r="I7" s="9">
        <v>129</v>
      </c>
      <c r="J7" s="10"/>
      <c r="L7" s="8">
        <f t="shared" si="2"/>
        <v>0</v>
      </c>
      <c r="M7" s="8">
        <f t="shared" si="2"/>
        <v>0</v>
      </c>
      <c r="N7" s="8">
        <f t="shared" si="2"/>
        <v>0</v>
      </c>
      <c r="O7" s="8">
        <f t="shared" si="2"/>
        <v>0</v>
      </c>
      <c r="P7" s="8">
        <f t="shared" si="2"/>
        <v>0</v>
      </c>
      <c r="Q7" s="8">
        <f t="shared" si="2"/>
        <v>0</v>
      </c>
      <c r="R7" s="8">
        <f t="shared" si="2"/>
        <v>0</v>
      </c>
      <c r="S7" s="9">
        <f t="shared" si="2"/>
        <v>0</v>
      </c>
    </row>
    <row r="8" spans="1:19" x14ac:dyDescent="0.3">
      <c r="A8" s="30" t="s">
        <v>27</v>
      </c>
      <c r="B8" s="8">
        <v>1.5</v>
      </c>
      <c r="C8" s="8">
        <v>6.5</v>
      </c>
      <c r="D8" s="8">
        <v>0</v>
      </c>
      <c r="E8" s="8">
        <v>11.3</v>
      </c>
      <c r="F8" s="8">
        <v>1.6</v>
      </c>
      <c r="G8" s="8">
        <v>5</v>
      </c>
      <c r="H8" s="8">
        <v>1E-3</v>
      </c>
      <c r="I8" s="9">
        <v>120</v>
      </c>
      <c r="J8" s="10">
        <v>1</v>
      </c>
      <c r="L8" s="8">
        <f>B8*$J8</f>
        <v>1.5</v>
      </c>
      <c r="M8" s="8">
        <f t="shared" si="2"/>
        <v>6.5</v>
      </c>
      <c r="N8" s="8">
        <f t="shared" si="2"/>
        <v>0</v>
      </c>
      <c r="O8" s="8">
        <f t="shared" si="2"/>
        <v>11.3</v>
      </c>
      <c r="P8" s="8">
        <f t="shared" si="2"/>
        <v>1.6</v>
      </c>
      <c r="Q8" s="8">
        <f t="shared" si="2"/>
        <v>5</v>
      </c>
      <c r="R8" s="8">
        <f t="shared" si="2"/>
        <v>1E-3</v>
      </c>
      <c r="S8" s="9">
        <f t="shared" si="2"/>
        <v>120</v>
      </c>
    </row>
    <row r="9" spans="1:19" x14ac:dyDescent="0.3">
      <c r="A9" s="7" t="s">
        <v>156</v>
      </c>
      <c r="B9" s="8">
        <v>2.4</v>
      </c>
      <c r="C9" s="8">
        <v>3.64</v>
      </c>
      <c r="D9" s="8">
        <v>0</v>
      </c>
      <c r="E9" s="8">
        <v>18.72</v>
      </c>
      <c r="F9" s="8">
        <v>2.6</v>
      </c>
      <c r="G9" s="8">
        <v>2.5</v>
      </c>
      <c r="H9" s="8">
        <v>0.01</v>
      </c>
      <c r="I9" s="9">
        <v>197.6</v>
      </c>
      <c r="J9" s="10"/>
      <c r="L9" s="8">
        <f>B9*$J9</f>
        <v>0</v>
      </c>
      <c r="M9" s="8">
        <f t="shared" si="2"/>
        <v>0</v>
      </c>
      <c r="N9" s="8">
        <f t="shared" si="2"/>
        <v>0</v>
      </c>
      <c r="O9" s="8">
        <f t="shared" si="2"/>
        <v>0</v>
      </c>
      <c r="P9" s="8">
        <f t="shared" si="2"/>
        <v>0</v>
      </c>
      <c r="Q9" s="8">
        <f t="shared" si="2"/>
        <v>0</v>
      </c>
      <c r="R9" s="8">
        <f t="shared" si="2"/>
        <v>0</v>
      </c>
      <c r="S9" s="9">
        <f t="shared" si="2"/>
        <v>0</v>
      </c>
    </row>
    <row r="10" spans="1:19" ht="13.8" customHeight="1" x14ac:dyDescent="0.3">
      <c r="A10" s="7" t="s">
        <v>45</v>
      </c>
      <c r="B10" s="8">
        <v>4.3600000000000003</v>
      </c>
      <c r="C10" s="8">
        <v>2.74</v>
      </c>
      <c r="D10" s="8">
        <v>0.55000000000000004</v>
      </c>
      <c r="E10" s="8">
        <v>16.260000000000002</v>
      </c>
      <c r="F10" s="8">
        <v>1.44</v>
      </c>
      <c r="G10" s="8">
        <v>1.33</v>
      </c>
      <c r="H10" s="8">
        <v>5.0000000000000001E-3</v>
      </c>
      <c r="I10" s="9">
        <v>177.5</v>
      </c>
      <c r="J10" s="10"/>
      <c r="L10" s="8">
        <f t="shared" ref="L10:S12" si="3">B10*$J10</f>
        <v>0</v>
      </c>
      <c r="M10" s="8">
        <f t="shared" si="3"/>
        <v>0</v>
      </c>
      <c r="N10" s="8">
        <f t="shared" si="3"/>
        <v>0</v>
      </c>
      <c r="O10" s="8">
        <f t="shared" si="3"/>
        <v>0</v>
      </c>
      <c r="P10" s="8">
        <f t="shared" si="3"/>
        <v>0</v>
      </c>
      <c r="Q10" s="8">
        <f t="shared" si="3"/>
        <v>0</v>
      </c>
      <c r="R10" s="8">
        <f t="shared" si="3"/>
        <v>0</v>
      </c>
      <c r="S10" s="9">
        <f t="shared" si="3"/>
        <v>0</v>
      </c>
    </row>
    <row r="11" spans="1:19" ht="26.4" customHeight="1" x14ac:dyDescent="0.3">
      <c r="A11" s="7" t="s">
        <v>46</v>
      </c>
      <c r="B11" s="8">
        <v>5.6</v>
      </c>
      <c r="C11" s="8">
        <v>2.7</v>
      </c>
      <c r="D11" s="8">
        <v>1.2</v>
      </c>
      <c r="E11" s="8">
        <v>17</v>
      </c>
      <c r="F11" s="8">
        <v>1.8</v>
      </c>
      <c r="G11" s="8">
        <v>2.1</v>
      </c>
      <c r="H11" s="8">
        <v>0</v>
      </c>
      <c r="I11" s="9">
        <v>193</v>
      </c>
      <c r="J11" s="10">
        <v>1</v>
      </c>
      <c r="L11" s="8">
        <f t="shared" si="3"/>
        <v>5.6</v>
      </c>
      <c r="M11" s="8">
        <f t="shared" si="3"/>
        <v>2.7</v>
      </c>
      <c r="N11" s="8">
        <f t="shared" si="3"/>
        <v>1.2</v>
      </c>
      <c r="O11" s="8">
        <f t="shared" si="3"/>
        <v>17</v>
      </c>
      <c r="P11" s="8">
        <f t="shared" si="3"/>
        <v>1.8</v>
      </c>
      <c r="Q11" s="8">
        <f t="shared" si="3"/>
        <v>2.1</v>
      </c>
      <c r="R11" s="8">
        <f t="shared" si="3"/>
        <v>0</v>
      </c>
      <c r="S11" s="9">
        <f t="shared" si="3"/>
        <v>193</v>
      </c>
    </row>
    <row r="12" spans="1:19" ht="26.4" customHeight="1" x14ac:dyDescent="0.3">
      <c r="A12" s="24" t="s">
        <v>188</v>
      </c>
      <c r="B12" s="8"/>
      <c r="C12" s="8"/>
      <c r="D12" s="8"/>
      <c r="E12" s="8"/>
      <c r="F12" s="8"/>
      <c r="G12" s="8"/>
      <c r="H12" s="8"/>
      <c r="I12" s="9"/>
      <c r="J12" s="10"/>
      <c r="L12" s="8">
        <f t="shared" si="3"/>
        <v>0</v>
      </c>
      <c r="M12" s="8">
        <f t="shared" si="3"/>
        <v>0</v>
      </c>
      <c r="N12" s="8">
        <f t="shared" si="3"/>
        <v>0</v>
      </c>
      <c r="O12" s="8">
        <f t="shared" si="3"/>
        <v>0</v>
      </c>
      <c r="P12" s="8">
        <f t="shared" si="3"/>
        <v>0</v>
      </c>
      <c r="Q12" s="8">
        <f t="shared" si="3"/>
        <v>0</v>
      </c>
      <c r="R12" s="8">
        <f t="shared" si="3"/>
        <v>0</v>
      </c>
      <c r="S12" s="9">
        <f t="shared" si="3"/>
        <v>0</v>
      </c>
    </row>
    <row r="13" spans="1:19" x14ac:dyDescent="0.3">
      <c r="A13" s="24" t="s">
        <v>189</v>
      </c>
      <c r="B13" s="8"/>
      <c r="C13" s="8"/>
      <c r="D13" s="8"/>
      <c r="E13" s="8"/>
      <c r="F13" s="8"/>
      <c r="G13" s="8"/>
      <c r="H13" s="8"/>
      <c r="I13" s="9"/>
      <c r="J13" s="10"/>
      <c r="L13" s="8">
        <f>B13*$J13</f>
        <v>0</v>
      </c>
      <c r="M13" s="8">
        <f t="shared" si="2"/>
        <v>0</v>
      </c>
      <c r="N13" s="8">
        <f t="shared" si="2"/>
        <v>0</v>
      </c>
      <c r="O13" s="8">
        <f t="shared" si="2"/>
        <v>0</v>
      </c>
      <c r="P13" s="8">
        <f t="shared" si="2"/>
        <v>0</v>
      </c>
      <c r="Q13" s="8">
        <f t="shared" si="2"/>
        <v>0</v>
      </c>
      <c r="R13" s="8">
        <f t="shared" si="2"/>
        <v>0</v>
      </c>
      <c r="S13" s="9">
        <f t="shared" si="2"/>
        <v>0</v>
      </c>
    </row>
    <row r="14" spans="1:19" x14ac:dyDescent="0.3">
      <c r="A14" s="4" t="s">
        <v>190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/>
      <c r="K14" s="6"/>
      <c r="L14" s="5">
        <f>B14*$J14</f>
        <v>0</v>
      </c>
      <c r="M14" s="5">
        <f t="shared" si="2"/>
        <v>0</v>
      </c>
      <c r="N14" s="5">
        <f t="shared" si="2"/>
        <v>0</v>
      </c>
      <c r="O14" s="5">
        <f t="shared" si="2"/>
        <v>0</v>
      </c>
      <c r="P14" s="5">
        <f t="shared" si="2"/>
        <v>0</v>
      </c>
      <c r="Q14" s="5">
        <f t="shared" si="2"/>
        <v>0</v>
      </c>
      <c r="R14" s="5">
        <f t="shared" si="2"/>
        <v>0</v>
      </c>
      <c r="S14" s="5">
        <f t="shared" si="2"/>
        <v>0</v>
      </c>
    </row>
    <row r="15" spans="1:19" x14ac:dyDescent="0.3">
      <c r="A15" s="7" t="s">
        <v>13</v>
      </c>
      <c r="B15" s="8">
        <v>0.8</v>
      </c>
      <c r="C15" s="8">
        <v>4</v>
      </c>
      <c r="D15" s="8">
        <v>1</v>
      </c>
      <c r="E15" s="8">
        <v>1</v>
      </c>
      <c r="F15" s="8">
        <v>0.1</v>
      </c>
      <c r="G15" s="8">
        <v>1</v>
      </c>
      <c r="H15" s="8">
        <v>0.4</v>
      </c>
      <c r="I15" s="9">
        <v>27</v>
      </c>
      <c r="J15" s="10"/>
      <c r="L15" s="8">
        <f>B15*$J15</f>
        <v>0</v>
      </c>
      <c r="M15" s="8">
        <f t="shared" si="2"/>
        <v>0</v>
      </c>
      <c r="N15" s="8">
        <f t="shared" si="2"/>
        <v>0</v>
      </c>
      <c r="O15" s="8">
        <f t="shared" si="2"/>
        <v>0</v>
      </c>
      <c r="P15" s="8">
        <f t="shared" si="2"/>
        <v>0</v>
      </c>
      <c r="Q15" s="8">
        <f t="shared" si="2"/>
        <v>0</v>
      </c>
      <c r="R15" s="8">
        <f t="shared" si="2"/>
        <v>0</v>
      </c>
      <c r="S15" s="9">
        <f t="shared" si="2"/>
        <v>0</v>
      </c>
    </row>
    <row r="16" spans="1:19" x14ac:dyDescent="0.3">
      <c r="A16" s="7" t="s">
        <v>26</v>
      </c>
      <c r="B16" s="8">
        <v>0.8</v>
      </c>
      <c r="C16" s="8">
        <v>3.9</v>
      </c>
      <c r="D16" s="8">
        <v>1.6</v>
      </c>
      <c r="E16" s="8">
        <v>0.7</v>
      </c>
      <c r="F16" s="8">
        <v>0.1</v>
      </c>
      <c r="G16" s="8">
        <v>1.1000000000000001</v>
      </c>
      <c r="H16" s="8">
        <v>0.39</v>
      </c>
      <c r="I16" s="9">
        <v>27</v>
      </c>
      <c r="J16" s="10">
        <v>3</v>
      </c>
      <c r="L16" s="8">
        <f t="shared" ref="L16:S19" si="4">B16*$J16</f>
        <v>2.4000000000000004</v>
      </c>
      <c r="M16" s="8">
        <f t="shared" si="4"/>
        <v>11.7</v>
      </c>
      <c r="N16" s="8">
        <f t="shared" si="4"/>
        <v>4.8000000000000007</v>
      </c>
      <c r="O16" s="8">
        <f t="shared" si="4"/>
        <v>2.0999999999999996</v>
      </c>
      <c r="P16" s="8">
        <f t="shared" si="4"/>
        <v>0.30000000000000004</v>
      </c>
      <c r="Q16" s="8">
        <f t="shared" si="4"/>
        <v>3.3000000000000003</v>
      </c>
      <c r="R16" s="8">
        <f t="shared" si="4"/>
        <v>1.17</v>
      </c>
      <c r="S16" s="9">
        <f t="shared" si="4"/>
        <v>81</v>
      </c>
    </row>
    <row r="17" spans="1:19" x14ac:dyDescent="0.3">
      <c r="A17" s="7" t="s">
        <v>28</v>
      </c>
      <c r="B17" s="8">
        <v>0.67</v>
      </c>
      <c r="C17" s="8">
        <v>0.34</v>
      </c>
      <c r="D17" s="8">
        <v>0</v>
      </c>
      <c r="E17" s="8">
        <v>0.18</v>
      </c>
      <c r="F17" s="8">
        <v>0</v>
      </c>
      <c r="G17" s="8">
        <v>0.52</v>
      </c>
      <c r="H17" s="8">
        <v>0.01</v>
      </c>
      <c r="I17" s="9">
        <v>5.6</v>
      </c>
      <c r="J17" s="10">
        <v>2</v>
      </c>
      <c r="L17" s="8">
        <f>B17*$J17</f>
        <v>1.34</v>
      </c>
      <c r="M17" s="8">
        <f t="shared" si="4"/>
        <v>0.68</v>
      </c>
      <c r="N17" s="8">
        <f t="shared" si="4"/>
        <v>0</v>
      </c>
      <c r="O17" s="8">
        <f t="shared" si="4"/>
        <v>0.36</v>
      </c>
      <c r="P17" s="8">
        <f t="shared" si="4"/>
        <v>0</v>
      </c>
      <c r="Q17" s="8">
        <f t="shared" si="4"/>
        <v>1.04</v>
      </c>
      <c r="R17" s="8">
        <f t="shared" si="4"/>
        <v>0.02</v>
      </c>
      <c r="S17" s="9">
        <f t="shared" si="4"/>
        <v>11.2</v>
      </c>
    </row>
    <row r="18" spans="1:19" x14ac:dyDescent="0.3">
      <c r="A18" s="7" t="s">
        <v>15</v>
      </c>
      <c r="B18" s="8">
        <v>0.36</v>
      </c>
      <c r="C18" s="8">
        <v>7.0000000000000007E-2</v>
      </c>
      <c r="D18" s="8">
        <v>0</v>
      </c>
      <c r="E18" s="8">
        <v>0.08</v>
      </c>
      <c r="F18" s="8">
        <v>0</v>
      </c>
      <c r="G18" s="8">
        <v>0.21</v>
      </c>
      <c r="H18" s="8">
        <v>1.2999999999999999E-2</v>
      </c>
      <c r="I18" s="9">
        <v>11.8</v>
      </c>
      <c r="J18" s="10"/>
      <c r="L18" s="8">
        <f t="shared" si="4"/>
        <v>0</v>
      </c>
      <c r="M18" s="8">
        <f t="shared" si="4"/>
        <v>0</v>
      </c>
      <c r="N18" s="8">
        <f t="shared" si="4"/>
        <v>0</v>
      </c>
      <c r="O18" s="8">
        <f t="shared" si="4"/>
        <v>0</v>
      </c>
      <c r="P18" s="8">
        <f t="shared" si="4"/>
        <v>0</v>
      </c>
      <c r="Q18" s="8">
        <f t="shared" si="4"/>
        <v>0</v>
      </c>
      <c r="R18" s="8">
        <f t="shared" si="4"/>
        <v>0</v>
      </c>
      <c r="S18" s="9">
        <f t="shared" si="4"/>
        <v>0</v>
      </c>
    </row>
    <row r="19" spans="1:19" ht="24" x14ac:dyDescent="0.3">
      <c r="A19" s="7" t="s">
        <v>14</v>
      </c>
      <c r="B19" s="8">
        <v>0.75</v>
      </c>
      <c r="C19" s="8">
        <v>3.25</v>
      </c>
      <c r="D19" s="8">
        <v>0</v>
      </c>
      <c r="E19" s="8">
        <v>0.2</v>
      </c>
      <c r="F19" s="8">
        <v>0</v>
      </c>
      <c r="G19" s="8">
        <v>1</v>
      </c>
      <c r="H19" s="8">
        <v>0.01</v>
      </c>
      <c r="I19" s="9">
        <v>15</v>
      </c>
      <c r="J19" s="10">
        <v>1</v>
      </c>
      <c r="L19" s="8">
        <f>B19*$J19</f>
        <v>0.75</v>
      </c>
      <c r="M19" s="8">
        <f t="shared" si="4"/>
        <v>3.25</v>
      </c>
      <c r="N19" s="8">
        <f t="shared" si="4"/>
        <v>0</v>
      </c>
      <c r="O19" s="8">
        <f t="shared" si="4"/>
        <v>0.2</v>
      </c>
      <c r="P19" s="8">
        <f t="shared" si="4"/>
        <v>0</v>
      </c>
      <c r="Q19" s="8">
        <f t="shared" si="4"/>
        <v>1</v>
      </c>
      <c r="R19" s="8">
        <f t="shared" si="4"/>
        <v>0.01</v>
      </c>
      <c r="S19" s="9">
        <f t="shared" si="4"/>
        <v>15</v>
      </c>
    </row>
    <row r="20" spans="1:19" x14ac:dyDescent="0.3">
      <c r="A20" s="7" t="s">
        <v>29</v>
      </c>
      <c r="B20" s="8">
        <v>2</v>
      </c>
      <c r="C20" s="8">
        <v>3</v>
      </c>
      <c r="D20" s="8">
        <v>0</v>
      </c>
      <c r="E20" s="8">
        <v>0</v>
      </c>
      <c r="F20" s="8">
        <v>0</v>
      </c>
      <c r="G20" s="8">
        <v>3.3</v>
      </c>
      <c r="H20" s="8">
        <v>0</v>
      </c>
      <c r="I20" s="9">
        <v>30</v>
      </c>
      <c r="J20" s="10"/>
      <c r="L20" s="8">
        <f t="shared" ref="L20:S35" si="5">B20*$J20</f>
        <v>0</v>
      </c>
      <c r="M20" s="8">
        <f t="shared" si="0"/>
        <v>0</v>
      </c>
      <c r="N20" s="8">
        <f t="shared" si="0"/>
        <v>0</v>
      </c>
      <c r="O20" s="8">
        <f t="shared" si="0"/>
        <v>0</v>
      </c>
      <c r="P20" s="8">
        <f t="shared" si="0"/>
        <v>0</v>
      </c>
      <c r="Q20" s="8">
        <f t="shared" si="0"/>
        <v>0</v>
      </c>
      <c r="R20" s="8">
        <f t="shared" si="0"/>
        <v>0</v>
      </c>
      <c r="S20" s="9">
        <f t="shared" si="0"/>
        <v>0</v>
      </c>
    </row>
    <row r="21" spans="1:19" x14ac:dyDescent="0.3">
      <c r="A21" s="7" t="s">
        <v>30</v>
      </c>
      <c r="B21" s="8">
        <v>1.3</v>
      </c>
      <c r="C21" s="8">
        <v>7</v>
      </c>
      <c r="D21" s="8">
        <v>0</v>
      </c>
      <c r="E21" s="8">
        <v>0.5</v>
      </c>
      <c r="F21" s="8">
        <v>0.5</v>
      </c>
      <c r="G21" s="8">
        <v>0</v>
      </c>
      <c r="H21" s="8">
        <v>0.34</v>
      </c>
      <c r="I21" s="9">
        <v>41</v>
      </c>
      <c r="J21" s="10"/>
      <c r="L21" s="8">
        <f t="shared" si="5"/>
        <v>0</v>
      </c>
      <c r="M21" s="8">
        <f t="shared" si="0"/>
        <v>0</v>
      </c>
      <c r="N21" s="8">
        <f t="shared" si="0"/>
        <v>0</v>
      </c>
      <c r="O21" s="8">
        <f t="shared" si="0"/>
        <v>0</v>
      </c>
      <c r="P21" s="8">
        <f t="shared" si="0"/>
        <v>0</v>
      </c>
      <c r="Q21" s="8">
        <f t="shared" si="0"/>
        <v>0</v>
      </c>
      <c r="R21" s="8">
        <f t="shared" si="0"/>
        <v>0</v>
      </c>
      <c r="S21" s="9">
        <f t="shared" si="0"/>
        <v>0</v>
      </c>
    </row>
    <row r="22" spans="1:19" x14ac:dyDescent="0.3">
      <c r="A22" s="4" t="s">
        <v>191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/>
      <c r="K22" s="6"/>
      <c r="L22" s="5">
        <f>B22*$J22</f>
        <v>0</v>
      </c>
      <c r="M22" s="5">
        <f t="shared" ref="M22:S24" si="6">C22*$J22</f>
        <v>0</v>
      </c>
      <c r="N22" s="5">
        <f t="shared" si="6"/>
        <v>0</v>
      </c>
      <c r="O22" s="5">
        <f t="shared" si="6"/>
        <v>0</v>
      </c>
      <c r="P22" s="5">
        <f t="shared" si="6"/>
        <v>0</v>
      </c>
      <c r="Q22" s="5">
        <f t="shared" si="6"/>
        <v>0</v>
      </c>
      <c r="R22" s="5">
        <f t="shared" si="6"/>
        <v>0</v>
      </c>
      <c r="S22" s="5">
        <f t="shared" si="6"/>
        <v>0</v>
      </c>
    </row>
    <row r="23" spans="1:19" ht="24" x14ac:dyDescent="0.3">
      <c r="A23" s="11" t="s">
        <v>18</v>
      </c>
      <c r="B23" s="8">
        <v>1.6</v>
      </c>
      <c r="C23" s="8">
        <v>6.2</v>
      </c>
      <c r="D23" s="8">
        <v>0</v>
      </c>
      <c r="E23" s="8">
        <v>3.1</v>
      </c>
      <c r="F23" s="8">
        <v>0.3</v>
      </c>
      <c r="G23" s="8">
        <v>3.7</v>
      </c>
      <c r="H23" s="8">
        <v>5.0000000000000001E-3</v>
      </c>
      <c r="I23" s="9">
        <v>44</v>
      </c>
      <c r="J23" s="10"/>
      <c r="L23" s="8">
        <f>B23*$J23</f>
        <v>0</v>
      </c>
      <c r="M23" s="8">
        <f t="shared" si="6"/>
        <v>0</v>
      </c>
      <c r="N23" s="8">
        <f t="shared" si="6"/>
        <v>0</v>
      </c>
      <c r="O23" s="8">
        <f t="shared" si="6"/>
        <v>0</v>
      </c>
      <c r="P23" s="8">
        <f t="shared" si="6"/>
        <v>0</v>
      </c>
      <c r="Q23" s="8">
        <f t="shared" si="6"/>
        <v>0</v>
      </c>
      <c r="R23" s="8">
        <f t="shared" si="6"/>
        <v>0</v>
      </c>
      <c r="S23" s="9">
        <f t="shared" si="6"/>
        <v>0</v>
      </c>
    </row>
    <row r="24" spans="1:19" ht="24" x14ac:dyDescent="0.3">
      <c r="A24" s="7" t="s">
        <v>19</v>
      </c>
      <c r="B24" s="8">
        <v>2.0699999999999998</v>
      </c>
      <c r="C24" s="8">
        <v>4.74</v>
      </c>
      <c r="D24" s="8">
        <v>0.08</v>
      </c>
      <c r="E24" s="8">
        <v>0.96</v>
      </c>
      <c r="F24" s="8">
        <v>0.15</v>
      </c>
      <c r="G24" s="8">
        <v>0.96</v>
      </c>
      <c r="H24" s="8">
        <v>0.05</v>
      </c>
      <c r="I24" s="9">
        <v>37.799999999999997</v>
      </c>
      <c r="J24" s="10"/>
      <c r="L24" s="8">
        <f t="shared" si="5"/>
        <v>0</v>
      </c>
      <c r="M24" s="8">
        <f t="shared" si="6"/>
        <v>0</v>
      </c>
      <c r="N24" s="8">
        <f t="shared" si="6"/>
        <v>0</v>
      </c>
      <c r="O24" s="8">
        <f t="shared" si="6"/>
        <v>0</v>
      </c>
      <c r="P24" s="8">
        <f t="shared" si="6"/>
        <v>0</v>
      </c>
      <c r="Q24" s="8">
        <f t="shared" si="6"/>
        <v>0</v>
      </c>
      <c r="R24" s="8">
        <f t="shared" si="6"/>
        <v>0</v>
      </c>
      <c r="S24" s="9">
        <f t="shared" si="6"/>
        <v>0</v>
      </c>
    </row>
    <row r="25" spans="1:19" x14ac:dyDescent="0.3">
      <c r="A25" s="7" t="s">
        <v>20</v>
      </c>
      <c r="B25" s="8">
        <v>1.1000000000000001</v>
      </c>
      <c r="C25" s="8">
        <v>15</v>
      </c>
      <c r="D25" s="8">
        <v>0</v>
      </c>
      <c r="E25" s="8">
        <v>0.5</v>
      </c>
      <c r="F25" s="8">
        <v>0</v>
      </c>
      <c r="G25" s="8">
        <v>3</v>
      </c>
      <c r="H25" s="8">
        <v>3.0000000000000001E-3</v>
      </c>
      <c r="I25" s="9">
        <v>61</v>
      </c>
      <c r="J25" s="10"/>
      <c r="L25" s="8">
        <f t="shared" si="5"/>
        <v>0</v>
      </c>
      <c r="M25" s="8">
        <f t="shared" si="5"/>
        <v>0</v>
      </c>
      <c r="N25" s="8">
        <f t="shared" si="5"/>
        <v>0</v>
      </c>
      <c r="O25" s="8">
        <f t="shared" si="5"/>
        <v>0</v>
      </c>
      <c r="P25" s="8">
        <f t="shared" si="5"/>
        <v>0</v>
      </c>
      <c r="Q25" s="8">
        <f t="shared" si="5"/>
        <v>0</v>
      </c>
      <c r="R25" s="8">
        <f t="shared" si="5"/>
        <v>0</v>
      </c>
      <c r="S25" s="9">
        <f t="shared" si="5"/>
        <v>0</v>
      </c>
    </row>
    <row r="26" spans="1:19" ht="24" x14ac:dyDescent="0.3">
      <c r="A26" s="7" t="s">
        <v>23</v>
      </c>
      <c r="B26" s="8">
        <v>1.9</v>
      </c>
      <c r="C26" s="8">
        <v>1.3</v>
      </c>
      <c r="D26" s="8">
        <v>0.95</v>
      </c>
      <c r="E26" s="8">
        <v>3.1</v>
      </c>
      <c r="F26" s="8">
        <v>0.03</v>
      </c>
      <c r="G26" s="8">
        <v>3.5</v>
      </c>
      <c r="H26" s="8">
        <v>1E-3</v>
      </c>
      <c r="I26" s="9">
        <v>47.7</v>
      </c>
      <c r="J26" s="10">
        <v>1</v>
      </c>
      <c r="L26" s="8">
        <f t="shared" si="5"/>
        <v>1.9</v>
      </c>
      <c r="M26" s="8">
        <f t="shared" si="5"/>
        <v>1.3</v>
      </c>
      <c r="N26" s="8">
        <f t="shared" si="5"/>
        <v>0.95</v>
      </c>
      <c r="O26" s="8">
        <f t="shared" si="5"/>
        <v>3.1</v>
      </c>
      <c r="P26" s="8">
        <f t="shared" si="5"/>
        <v>0.03</v>
      </c>
      <c r="Q26" s="8">
        <f t="shared" si="5"/>
        <v>3.5</v>
      </c>
      <c r="R26" s="8">
        <f t="shared" si="5"/>
        <v>1E-3</v>
      </c>
      <c r="S26" s="9">
        <f t="shared" si="5"/>
        <v>47.7</v>
      </c>
    </row>
    <row r="27" spans="1:19" ht="24" x14ac:dyDescent="0.3">
      <c r="A27" s="7" t="s">
        <v>47</v>
      </c>
      <c r="B27" s="8">
        <v>3.5</v>
      </c>
      <c r="C27" s="8">
        <v>2.2000000000000002</v>
      </c>
      <c r="D27" s="8">
        <v>0</v>
      </c>
      <c r="E27" s="8">
        <v>4.5</v>
      </c>
      <c r="F27" s="8">
        <v>0.88</v>
      </c>
      <c r="G27" s="8">
        <v>0.79</v>
      </c>
      <c r="H27" s="8">
        <v>3.0000000000000001E-3</v>
      </c>
      <c r="I27" s="9">
        <v>56.9</v>
      </c>
      <c r="J27" s="10">
        <v>1</v>
      </c>
      <c r="L27" s="8">
        <f t="shared" si="5"/>
        <v>3.5</v>
      </c>
      <c r="M27" s="8">
        <f t="shared" si="5"/>
        <v>2.2000000000000002</v>
      </c>
      <c r="N27" s="8">
        <f t="shared" si="5"/>
        <v>0</v>
      </c>
      <c r="O27" s="8">
        <f t="shared" si="5"/>
        <v>4.5</v>
      </c>
      <c r="P27" s="8">
        <f t="shared" si="5"/>
        <v>0.88</v>
      </c>
      <c r="Q27" s="8">
        <f t="shared" si="5"/>
        <v>0.79</v>
      </c>
      <c r="R27" s="8">
        <f t="shared" si="5"/>
        <v>3.0000000000000001E-3</v>
      </c>
      <c r="S27" s="9">
        <f t="shared" si="5"/>
        <v>56.9</v>
      </c>
    </row>
    <row r="28" spans="1:19" ht="24" x14ac:dyDescent="0.3">
      <c r="A28" s="7" t="s">
        <v>48</v>
      </c>
      <c r="B28" s="8">
        <v>3.3</v>
      </c>
      <c r="C28" s="8">
        <v>0.36</v>
      </c>
      <c r="D28" s="8">
        <v>0</v>
      </c>
      <c r="E28" s="8">
        <v>0.48</v>
      </c>
      <c r="F28" s="8">
        <v>0.52</v>
      </c>
      <c r="G28" s="8">
        <v>0.6</v>
      </c>
      <c r="H28" s="8">
        <v>7.0000000000000001E-3</v>
      </c>
      <c r="I28" s="9">
        <v>59</v>
      </c>
      <c r="J28" s="10">
        <v>1</v>
      </c>
      <c r="L28" s="8">
        <f t="shared" si="5"/>
        <v>3.3</v>
      </c>
      <c r="M28" s="8">
        <f t="shared" si="5"/>
        <v>0.36</v>
      </c>
      <c r="N28" s="8">
        <f t="shared" si="5"/>
        <v>0</v>
      </c>
      <c r="O28" s="8">
        <f t="shared" si="5"/>
        <v>0.48</v>
      </c>
      <c r="P28" s="8">
        <f t="shared" si="5"/>
        <v>0.52</v>
      </c>
      <c r="Q28" s="8">
        <f t="shared" si="5"/>
        <v>0.6</v>
      </c>
      <c r="R28" s="8">
        <f t="shared" si="5"/>
        <v>7.0000000000000001E-3</v>
      </c>
      <c r="S28" s="9">
        <f t="shared" si="5"/>
        <v>59</v>
      </c>
    </row>
    <row r="29" spans="1:19" ht="24" x14ac:dyDescent="0.3">
      <c r="A29" s="7" t="s">
        <v>49</v>
      </c>
      <c r="B29" s="8">
        <v>2.2799999999999998</v>
      </c>
      <c r="C29" s="8">
        <v>1.88</v>
      </c>
      <c r="D29" s="8">
        <v>0</v>
      </c>
      <c r="E29" s="8">
        <v>4.96</v>
      </c>
      <c r="F29" s="8">
        <v>0.52</v>
      </c>
      <c r="G29" s="8">
        <v>1.05</v>
      </c>
      <c r="H29" s="8">
        <v>3.0000000000000001E-3</v>
      </c>
      <c r="I29" s="9">
        <v>63.4</v>
      </c>
      <c r="J29" s="10">
        <v>1</v>
      </c>
      <c r="L29" s="8">
        <f t="shared" si="5"/>
        <v>2.2799999999999998</v>
      </c>
      <c r="M29" s="8">
        <f t="shared" si="5"/>
        <v>1.88</v>
      </c>
      <c r="N29" s="8">
        <f t="shared" si="5"/>
        <v>0</v>
      </c>
      <c r="O29" s="8">
        <f t="shared" si="5"/>
        <v>4.96</v>
      </c>
      <c r="P29" s="8">
        <f t="shared" si="5"/>
        <v>0.52</v>
      </c>
      <c r="Q29" s="8">
        <f t="shared" si="5"/>
        <v>1.05</v>
      </c>
      <c r="R29" s="8">
        <f t="shared" si="5"/>
        <v>3.0000000000000001E-3</v>
      </c>
      <c r="S29" s="9">
        <f t="shared" si="5"/>
        <v>63.4</v>
      </c>
    </row>
    <row r="30" spans="1:19" x14ac:dyDescent="0.3">
      <c r="A30" s="7"/>
      <c r="B30" s="8"/>
      <c r="C30" s="8"/>
      <c r="D30" s="8"/>
      <c r="E30" s="8"/>
      <c r="F30" s="8"/>
      <c r="G30" s="8"/>
      <c r="H30" s="8"/>
      <c r="I30" s="9"/>
      <c r="J30" s="10"/>
      <c r="L30" s="8">
        <f t="shared" si="5"/>
        <v>0</v>
      </c>
      <c r="M30" s="8">
        <f t="shared" si="5"/>
        <v>0</v>
      </c>
      <c r="N30" s="8">
        <f t="shared" si="5"/>
        <v>0</v>
      </c>
      <c r="O30" s="8">
        <f t="shared" si="5"/>
        <v>0</v>
      </c>
      <c r="P30" s="8">
        <f t="shared" si="5"/>
        <v>0</v>
      </c>
      <c r="Q30" s="8">
        <f t="shared" si="5"/>
        <v>0</v>
      </c>
      <c r="R30" s="8">
        <f t="shared" si="5"/>
        <v>0</v>
      </c>
      <c r="S30" s="9">
        <f t="shared" si="5"/>
        <v>0</v>
      </c>
    </row>
    <row r="31" spans="1:19" x14ac:dyDescent="0.3">
      <c r="A31" s="7"/>
      <c r="B31" s="8"/>
      <c r="C31" s="8"/>
      <c r="D31" s="8"/>
      <c r="E31" s="8"/>
      <c r="F31" s="8"/>
      <c r="G31" s="8"/>
      <c r="H31" s="8"/>
      <c r="I31" s="9"/>
      <c r="J31" s="10"/>
      <c r="L31" s="8">
        <f t="shared" si="5"/>
        <v>0</v>
      </c>
      <c r="M31" s="8">
        <f t="shared" si="5"/>
        <v>0</v>
      </c>
      <c r="N31" s="8">
        <f t="shared" si="5"/>
        <v>0</v>
      </c>
      <c r="O31" s="8">
        <f t="shared" si="5"/>
        <v>0</v>
      </c>
      <c r="P31" s="8">
        <f t="shared" si="5"/>
        <v>0</v>
      </c>
      <c r="Q31" s="8">
        <f t="shared" si="5"/>
        <v>0</v>
      </c>
      <c r="R31" s="8">
        <f t="shared" si="5"/>
        <v>0</v>
      </c>
      <c r="S31" s="9">
        <f t="shared" si="5"/>
        <v>0</v>
      </c>
    </row>
    <row r="32" spans="1:19" x14ac:dyDescent="0.3">
      <c r="A32" s="4" t="s">
        <v>185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/>
      <c r="K32" s="6"/>
      <c r="L32" s="5">
        <f>B32*$J32</f>
        <v>0</v>
      </c>
      <c r="M32" s="5">
        <f t="shared" si="5"/>
        <v>0</v>
      </c>
      <c r="N32" s="5">
        <f t="shared" si="5"/>
        <v>0</v>
      </c>
      <c r="O32" s="5">
        <f t="shared" si="5"/>
        <v>0</v>
      </c>
      <c r="P32" s="5">
        <f t="shared" si="5"/>
        <v>0</v>
      </c>
      <c r="Q32" s="5">
        <f t="shared" si="5"/>
        <v>0</v>
      </c>
      <c r="R32" s="5">
        <f t="shared" si="5"/>
        <v>0</v>
      </c>
      <c r="S32" s="5">
        <f t="shared" si="5"/>
        <v>0</v>
      </c>
    </row>
    <row r="33" spans="1:19" x14ac:dyDescent="0.3">
      <c r="A33" s="7" t="s">
        <v>21</v>
      </c>
      <c r="B33" s="8">
        <v>6.5</v>
      </c>
      <c r="C33" s="8">
        <v>0.6</v>
      </c>
      <c r="D33" s="8">
        <v>0.6</v>
      </c>
      <c r="E33" s="8">
        <v>5.9</v>
      </c>
      <c r="F33" s="8">
        <v>1.8</v>
      </c>
      <c r="G33" s="8">
        <v>0</v>
      </c>
      <c r="H33" s="8">
        <v>0.1</v>
      </c>
      <c r="I33" s="9">
        <v>84</v>
      </c>
      <c r="J33" s="10"/>
      <c r="L33" s="8">
        <f t="shared" si="5"/>
        <v>0</v>
      </c>
      <c r="M33" s="8">
        <f t="shared" si="5"/>
        <v>0</v>
      </c>
      <c r="N33" s="8">
        <f t="shared" si="5"/>
        <v>0</v>
      </c>
      <c r="O33" s="8">
        <f t="shared" si="5"/>
        <v>0</v>
      </c>
      <c r="P33" s="8">
        <f t="shared" si="5"/>
        <v>0</v>
      </c>
      <c r="Q33" s="8">
        <f t="shared" si="5"/>
        <v>0</v>
      </c>
      <c r="R33" s="8">
        <f t="shared" si="5"/>
        <v>0</v>
      </c>
      <c r="S33" s="9">
        <f t="shared" si="5"/>
        <v>0</v>
      </c>
    </row>
    <row r="34" spans="1:19" ht="24" x14ac:dyDescent="0.3">
      <c r="A34" s="7" t="s">
        <v>34</v>
      </c>
      <c r="B34" s="8">
        <v>19.600000000000001</v>
      </c>
      <c r="C34" s="8">
        <v>5.8</v>
      </c>
      <c r="D34" s="8">
        <v>2.2999999999999998</v>
      </c>
      <c r="E34" s="8">
        <v>7.5</v>
      </c>
      <c r="F34" s="8">
        <v>0.7</v>
      </c>
      <c r="G34" s="8">
        <v>5.9</v>
      </c>
      <c r="H34" s="8">
        <v>1.3</v>
      </c>
      <c r="I34" s="9">
        <v>181</v>
      </c>
      <c r="J34" s="10"/>
      <c r="L34" s="8">
        <f t="shared" si="5"/>
        <v>0</v>
      </c>
      <c r="M34" s="8">
        <f t="shared" si="5"/>
        <v>0</v>
      </c>
      <c r="N34" s="8">
        <f t="shared" si="5"/>
        <v>0</v>
      </c>
      <c r="O34" s="8">
        <f t="shared" si="5"/>
        <v>0</v>
      </c>
      <c r="P34" s="8">
        <f t="shared" si="5"/>
        <v>0</v>
      </c>
      <c r="Q34" s="8">
        <f t="shared" si="5"/>
        <v>0</v>
      </c>
      <c r="R34" s="8">
        <f t="shared" si="5"/>
        <v>0</v>
      </c>
      <c r="S34" s="9">
        <f t="shared" si="5"/>
        <v>0</v>
      </c>
    </row>
    <row r="35" spans="1:19" ht="24" x14ac:dyDescent="0.3">
      <c r="A35" s="7" t="s">
        <v>35</v>
      </c>
      <c r="B35" s="8">
        <v>16.2</v>
      </c>
      <c r="C35" s="8">
        <v>5.2</v>
      </c>
      <c r="D35" s="8">
        <v>3.3</v>
      </c>
      <c r="E35" s="8">
        <v>14.4</v>
      </c>
      <c r="F35" s="8">
        <v>1</v>
      </c>
      <c r="G35" s="8">
        <v>5.9</v>
      </c>
      <c r="H35" s="8">
        <v>1</v>
      </c>
      <c r="I35" s="9">
        <v>227</v>
      </c>
      <c r="J35" s="10"/>
      <c r="L35" s="8">
        <f t="shared" si="5"/>
        <v>0</v>
      </c>
      <c r="M35" s="8">
        <f t="shared" si="5"/>
        <v>0</v>
      </c>
      <c r="N35" s="8">
        <f t="shared" si="5"/>
        <v>0</v>
      </c>
      <c r="O35" s="8">
        <f t="shared" si="5"/>
        <v>0</v>
      </c>
      <c r="P35" s="8">
        <f t="shared" si="5"/>
        <v>0</v>
      </c>
      <c r="Q35" s="8">
        <f t="shared" si="5"/>
        <v>0</v>
      </c>
      <c r="R35" s="8">
        <f t="shared" si="5"/>
        <v>0</v>
      </c>
      <c r="S35" s="9">
        <f t="shared" si="5"/>
        <v>0</v>
      </c>
    </row>
    <row r="36" spans="1:19" x14ac:dyDescent="0.3">
      <c r="A36" s="7" t="s">
        <v>36</v>
      </c>
      <c r="B36" s="8">
        <v>20</v>
      </c>
      <c r="C36" s="8">
        <v>0</v>
      </c>
      <c r="D36" s="8">
        <v>0</v>
      </c>
      <c r="E36" s="8">
        <v>13</v>
      </c>
      <c r="F36" s="8">
        <v>3</v>
      </c>
      <c r="G36" s="8">
        <v>0</v>
      </c>
      <c r="H36" s="8">
        <v>0.59</v>
      </c>
      <c r="I36" s="9">
        <v>208</v>
      </c>
      <c r="J36" s="10"/>
      <c r="L36" s="8">
        <f t="shared" ref="L36:S52" si="7">B36*$J36</f>
        <v>0</v>
      </c>
      <c r="M36" s="8">
        <f t="shared" si="7"/>
        <v>0</v>
      </c>
      <c r="N36" s="8">
        <f t="shared" si="7"/>
        <v>0</v>
      </c>
      <c r="O36" s="8">
        <f t="shared" si="7"/>
        <v>0</v>
      </c>
      <c r="P36" s="8">
        <f t="shared" si="7"/>
        <v>0</v>
      </c>
      <c r="Q36" s="8">
        <f t="shared" si="7"/>
        <v>0</v>
      </c>
      <c r="R36" s="8">
        <f t="shared" si="7"/>
        <v>0</v>
      </c>
      <c r="S36" s="9">
        <f t="shared" si="7"/>
        <v>0</v>
      </c>
    </row>
    <row r="37" spans="1:19" x14ac:dyDescent="0.3">
      <c r="A37" s="7" t="s">
        <v>37</v>
      </c>
      <c r="B37" s="8">
        <v>21</v>
      </c>
      <c r="C37" s="8">
        <v>0</v>
      </c>
      <c r="D37" s="8">
        <v>0</v>
      </c>
      <c r="E37" s="8">
        <v>3.5</v>
      </c>
      <c r="F37" s="8">
        <v>1</v>
      </c>
      <c r="G37" s="8">
        <v>0</v>
      </c>
      <c r="H37" s="8">
        <v>0.01</v>
      </c>
      <c r="I37" s="9">
        <v>120</v>
      </c>
      <c r="J37" s="10"/>
      <c r="L37" s="8">
        <f t="shared" si="7"/>
        <v>0</v>
      </c>
      <c r="M37" s="8">
        <f t="shared" si="7"/>
        <v>0</v>
      </c>
      <c r="N37" s="8">
        <f t="shared" si="7"/>
        <v>0</v>
      </c>
      <c r="O37" s="8">
        <f t="shared" si="7"/>
        <v>0</v>
      </c>
      <c r="P37" s="8">
        <f t="shared" si="7"/>
        <v>0</v>
      </c>
      <c r="Q37" s="8">
        <f t="shared" si="7"/>
        <v>0</v>
      </c>
      <c r="R37" s="8">
        <f t="shared" si="7"/>
        <v>0</v>
      </c>
      <c r="S37" s="9">
        <f t="shared" si="7"/>
        <v>0</v>
      </c>
    </row>
    <row r="38" spans="1:19" ht="24" x14ac:dyDescent="0.3">
      <c r="A38" s="7" t="s">
        <v>38</v>
      </c>
      <c r="B38" s="8">
        <v>28.15</v>
      </c>
      <c r="C38" s="8">
        <v>0</v>
      </c>
      <c r="D38" s="8">
        <v>0</v>
      </c>
      <c r="E38" s="8">
        <v>5</v>
      </c>
      <c r="F38" s="8">
        <v>2</v>
      </c>
      <c r="G38" s="8">
        <v>0</v>
      </c>
      <c r="H38" s="8">
        <v>0.44</v>
      </c>
      <c r="I38" s="9">
        <v>170.34</v>
      </c>
      <c r="J38" s="10"/>
      <c r="L38" s="8">
        <f t="shared" si="7"/>
        <v>0</v>
      </c>
      <c r="M38" s="8">
        <f t="shared" si="7"/>
        <v>0</v>
      </c>
      <c r="N38" s="8">
        <f t="shared" si="7"/>
        <v>0</v>
      </c>
      <c r="O38" s="8">
        <f t="shared" si="7"/>
        <v>0</v>
      </c>
      <c r="P38" s="8">
        <f t="shared" si="7"/>
        <v>0</v>
      </c>
      <c r="Q38" s="8">
        <f t="shared" si="7"/>
        <v>0</v>
      </c>
      <c r="R38" s="8">
        <f t="shared" si="7"/>
        <v>0</v>
      </c>
      <c r="S38" s="9">
        <f t="shared" si="7"/>
        <v>0</v>
      </c>
    </row>
    <row r="39" spans="1:19" ht="24" x14ac:dyDescent="0.3">
      <c r="A39" s="7" t="s">
        <v>39</v>
      </c>
      <c r="B39" s="8">
        <v>23.4</v>
      </c>
      <c r="C39" s="8">
        <v>0</v>
      </c>
      <c r="D39" s="8">
        <v>0</v>
      </c>
      <c r="E39" s="8">
        <v>1.3</v>
      </c>
      <c r="F39" s="8">
        <v>0.3</v>
      </c>
      <c r="G39" s="8">
        <v>0</v>
      </c>
      <c r="H39" s="8">
        <v>0.2</v>
      </c>
      <c r="I39" s="9">
        <v>105</v>
      </c>
      <c r="J39" s="10"/>
      <c r="L39" s="8">
        <f t="shared" si="7"/>
        <v>0</v>
      </c>
      <c r="M39" s="8">
        <f t="shared" si="7"/>
        <v>0</v>
      </c>
      <c r="N39" s="8">
        <f t="shared" si="7"/>
        <v>0</v>
      </c>
      <c r="O39" s="8">
        <f t="shared" si="7"/>
        <v>0</v>
      </c>
      <c r="P39" s="8">
        <f t="shared" si="7"/>
        <v>0</v>
      </c>
      <c r="Q39" s="8">
        <f t="shared" si="7"/>
        <v>0</v>
      </c>
      <c r="R39" s="8">
        <f t="shared" si="7"/>
        <v>0</v>
      </c>
      <c r="S39" s="9">
        <f t="shared" si="7"/>
        <v>0</v>
      </c>
    </row>
    <row r="40" spans="1:19" ht="24.6" customHeight="1" x14ac:dyDescent="0.3">
      <c r="A40" s="7" t="s">
        <v>69</v>
      </c>
      <c r="B40" s="8">
        <v>27</v>
      </c>
      <c r="C40" s="8">
        <v>21</v>
      </c>
      <c r="D40" s="8">
        <v>11</v>
      </c>
      <c r="E40" s="8">
        <v>9.1999999999999993</v>
      </c>
      <c r="F40" s="8">
        <v>2.2000000000000002</v>
      </c>
      <c r="G40" s="8">
        <v>5.3</v>
      </c>
      <c r="H40" s="8">
        <v>2.8</v>
      </c>
      <c r="I40" s="9">
        <v>288</v>
      </c>
      <c r="J40" s="10"/>
      <c r="L40" s="8">
        <f t="shared" si="7"/>
        <v>0</v>
      </c>
      <c r="M40" s="8">
        <f t="shared" si="7"/>
        <v>0</v>
      </c>
      <c r="N40" s="8">
        <f t="shared" si="7"/>
        <v>0</v>
      </c>
      <c r="O40" s="8">
        <f t="shared" si="7"/>
        <v>0</v>
      </c>
      <c r="P40" s="8">
        <f t="shared" si="7"/>
        <v>0</v>
      </c>
      <c r="Q40" s="8">
        <f t="shared" si="7"/>
        <v>0</v>
      </c>
      <c r="R40" s="8">
        <f t="shared" si="7"/>
        <v>0</v>
      </c>
      <c r="S40" s="9">
        <f t="shared" si="7"/>
        <v>0</v>
      </c>
    </row>
    <row r="41" spans="1:19" ht="24" x14ac:dyDescent="0.3">
      <c r="A41" s="7" t="s">
        <v>68</v>
      </c>
      <c r="B41" s="8">
        <v>31</v>
      </c>
      <c r="C41" s="8">
        <v>42</v>
      </c>
      <c r="D41" s="8">
        <v>6.2</v>
      </c>
      <c r="E41" s="8">
        <v>10</v>
      </c>
      <c r="F41" s="8">
        <v>2.2000000000000002</v>
      </c>
      <c r="G41" s="8">
        <v>3.9</v>
      </c>
      <c r="H41" s="8">
        <v>1.8</v>
      </c>
      <c r="I41" s="9">
        <v>392</v>
      </c>
      <c r="J41" s="10"/>
      <c r="L41" s="8">
        <f t="shared" si="7"/>
        <v>0</v>
      </c>
      <c r="M41" s="8">
        <f t="shared" si="7"/>
        <v>0</v>
      </c>
      <c r="N41" s="8">
        <f t="shared" si="7"/>
        <v>0</v>
      </c>
      <c r="O41" s="8">
        <f t="shared" si="7"/>
        <v>0</v>
      </c>
      <c r="P41" s="8">
        <f t="shared" si="7"/>
        <v>0</v>
      </c>
      <c r="Q41" s="8">
        <f t="shared" si="7"/>
        <v>0</v>
      </c>
      <c r="R41" s="8">
        <f t="shared" si="7"/>
        <v>0</v>
      </c>
      <c r="S41" s="9">
        <f t="shared" si="7"/>
        <v>0</v>
      </c>
    </row>
    <row r="42" spans="1:19" ht="24.6" customHeight="1" x14ac:dyDescent="0.3">
      <c r="A42" s="24" t="s">
        <v>108</v>
      </c>
      <c r="B42" s="25">
        <v>22</v>
      </c>
      <c r="C42" s="8">
        <v>0</v>
      </c>
      <c r="D42" s="8">
        <v>0</v>
      </c>
      <c r="E42" s="25">
        <v>0.1</v>
      </c>
      <c r="F42" s="8">
        <v>0.1</v>
      </c>
      <c r="G42" s="8">
        <v>0</v>
      </c>
      <c r="H42" s="8">
        <v>1.18</v>
      </c>
      <c r="I42" s="9">
        <v>91</v>
      </c>
      <c r="J42" s="10">
        <v>1</v>
      </c>
      <c r="L42" s="8">
        <f t="shared" si="7"/>
        <v>22</v>
      </c>
      <c r="M42" s="8">
        <f t="shared" si="7"/>
        <v>0</v>
      </c>
      <c r="N42" s="8">
        <f t="shared" si="7"/>
        <v>0</v>
      </c>
      <c r="O42" s="8">
        <f t="shared" si="7"/>
        <v>0.1</v>
      </c>
      <c r="P42" s="8">
        <f t="shared" si="7"/>
        <v>0.1</v>
      </c>
      <c r="Q42" s="8">
        <f t="shared" si="7"/>
        <v>0</v>
      </c>
      <c r="R42" s="8">
        <f t="shared" si="7"/>
        <v>1.18</v>
      </c>
      <c r="S42" s="9">
        <f t="shared" si="7"/>
        <v>91</v>
      </c>
    </row>
    <row r="43" spans="1:19" x14ac:dyDescent="0.3">
      <c r="A43" s="7"/>
      <c r="B43" s="8"/>
      <c r="C43" s="8"/>
      <c r="D43" s="8"/>
      <c r="E43" s="8"/>
      <c r="F43" s="8"/>
      <c r="G43" s="8"/>
      <c r="H43" s="8"/>
      <c r="I43" s="9"/>
      <c r="J43" s="10"/>
      <c r="L43" s="8">
        <f t="shared" si="7"/>
        <v>0</v>
      </c>
      <c r="M43" s="8">
        <f t="shared" si="7"/>
        <v>0</v>
      </c>
      <c r="N43" s="8">
        <f t="shared" si="7"/>
        <v>0</v>
      </c>
      <c r="O43" s="8">
        <f t="shared" si="7"/>
        <v>0</v>
      </c>
      <c r="P43" s="8">
        <f t="shared" si="7"/>
        <v>0</v>
      </c>
      <c r="Q43" s="8">
        <f t="shared" si="7"/>
        <v>0</v>
      </c>
      <c r="R43" s="8">
        <f t="shared" si="7"/>
        <v>0</v>
      </c>
      <c r="S43" s="9">
        <f t="shared" si="7"/>
        <v>0</v>
      </c>
    </row>
    <row r="44" spans="1:19" x14ac:dyDescent="0.3">
      <c r="A44" s="7" t="s">
        <v>170</v>
      </c>
      <c r="B44" s="8">
        <v>11.25</v>
      </c>
      <c r="C44" s="8">
        <v>2.7</v>
      </c>
      <c r="D44" s="8">
        <v>1.125</v>
      </c>
      <c r="E44" s="8">
        <v>9</v>
      </c>
      <c r="F44" s="8">
        <v>3.2250000000000001</v>
      </c>
      <c r="G44" s="8">
        <v>0</v>
      </c>
      <c r="H44" s="8">
        <v>0.48799999999999999</v>
      </c>
      <c r="I44" s="9">
        <v>138.75</v>
      </c>
      <c r="J44" s="10">
        <v>1</v>
      </c>
      <c r="L44" s="8">
        <f t="shared" si="7"/>
        <v>11.25</v>
      </c>
      <c r="M44" s="8">
        <f t="shared" si="7"/>
        <v>2.7</v>
      </c>
      <c r="N44" s="8">
        <f t="shared" si="7"/>
        <v>1.125</v>
      </c>
      <c r="O44" s="8">
        <f t="shared" si="7"/>
        <v>9</v>
      </c>
      <c r="P44" s="8">
        <f t="shared" si="7"/>
        <v>3.2250000000000001</v>
      </c>
      <c r="Q44" s="8">
        <f t="shared" si="7"/>
        <v>0</v>
      </c>
      <c r="R44" s="8">
        <f t="shared" si="7"/>
        <v>0.48799999999999999</v>
      </c>
      <c r="S44" s="9">
        <f t="shared" si="7"/>
        <v>138.75</v>
      </c>
    </row>
    <row r="45" spans="1:19" ht="24" x14ac:dyDescent="0.3">
      <c r="A45" s="7" t="s">
        <v>171</v>
      </c>
      <c r="B45" s="8">
        <v>17.850000000000001</v>
      </c>
      <c r="C45" s="8">
        <v>0.6</v>
      </c>
      <c r="D45" s="8">
        <v>0.4</v>
      </c>
      <c r="E45" s="8">
        <v>6.8</v>
      </c>
      <c r="F45" s="8">
        <v>1.87</v>
      </c>
      <c r="G45" s="8">
        <v>0.5</v>
      </c>
      <c r="H45" s="8">
        <v>0.75</v>
      </c>
      <c r="I45" s="9">
        <v>133</v>
      </c>
      <c r="J45" s="10"/>
      <c r="L45" s="8">
        <f t="shared" si="7"/>
        <v>0</v>
      </c>
      <c r="M45" s="8">
        <f t="shared" si="7"/>
        <v>0</v>
      </c>
      <c r="N45" s="8">
        <f t="shared" si="7"/>
        <v>0</v>
      </c>
      <c r="O45" s="8">
        <f t="shared" si="7"/>
        <v>0</v>
      </c>
      <c r="P45" s="8">
        <f t="shared" si="7"/>
        <v>0</v>
      </c>
      <c r="Q45" s="8">
        <f t="shared" si="7"/>
        <v>0</v>
      </c>
      <c r="R45" s="8">
        <f t="shared" si="7"/>
        <v>0</v>
      </c>
      <c r="S45" s="9">
        <f>I45*$J45</f>
        <v>0</v>
      </c>
    </row>
    <row r="46" spans="1:19" x14ac:dyDescent="0.3">
      <c r="A46" s="7" t="s">
        <v>25</v>
      </c>
      <c r="B46" s="8">
        <v>5.4</v>
      </c>
      <c r="C46" s="8">
        <v>0.3</v>
      </c>
      <c r="D46" s="8">
        <v>0.3</v>
      </c>
      <c r="E46" s="8">
        <v>0</v>
      </c>
      <c r="F46" s="8">
        <v>1.9</v>
      </c>
      <c r="G46" s="8">
        <v>0</v>
      </c>
      <c r="H46" s="8">
        <v>0.26</v>
      </c>
      <c r="I46" s="9">
        <v>47</v>
      </c>
      <c r="J46" s="10">
        <v>2</v>
      </c>
      <c r="L46" s="8">
        <f t="shared" si="7"/>
        <v>10.8</v>
      </c>
      <c r="M46" s="8">
        <f t="shared" si="7"/>
        <v>0.6</v>
      </c>
      <c r="N46" s="8">
        <f t="shared" si="7"/>
        <v>0.6</v>
      </c>
      <c r="O46" s="8">
        <f t="shared" si="7"/>
        <v>0</v>
      </c>
      <c r="P46" s="8">
        <f t="shared" si="7"/>
        <v>3.8</v>
      </c>
      <c r="Q46" s="8">
        <f t="shared" si="7"/>
        <v>0</v>
      </c>
      <c r="R46" s="8">
        <f t="shared" si="7"/>
        <v>0.52</v>
      </c>
      <c r="S46" s="9">
        <f t="shared" si="7"/>
        <v>94</v>
      </c>
    </row>
    <row r="47" spans="1:19" x14ac:dyDescent="0.3">
      <c r="A47" s="7" t="s">
        <v>43</v>
      </c>
      <c r="B47" s="8">
        <v>10.4</v>
      </c>
      <c r="C47" s="8">
        <v>3</v>
      </c>
      <c r="D47" s="8">
        <v>0</v>
      </c>
      <c r="E47" s="8">
        <v>0.8</v>
      </c>
      <c r="F47" s="8">
        <v>0.56000000000000005</v>
      </c>
      <c r="G47" s="8">
        <v>0.3</v>
      </c>
      <c r="H47" s="8">
        <v>0.48</v>
      </c>
      <c r="I47" s="9">
        <v>61</v>
      </c>
      <c r="J47" s="10"/>
      <c r="L47" s="8">
        <f t="shared" si="7"/>
        <v>0</v>
      </c>
      <c r="M47" s="8">
        <f t="shared" si="7"/>
        <v>0</v>
      </c>
      <c r="N47" s="8">
        <f t="shared" si="7"/>
        <v>0</v>
      </c>
      <c r="O47" s="8">
        <f t="shared" si="7"/>
        <v>0</v>
      </c>
      <c r="P47" s="8">
        <f t="shared" si="7"/>
        <v>0</v>
      </c>
      <c r="Q47" s="8">
        <f t="shared" si="7"/>
        <v>0</v>
      </c>
      <c r="R47" s="8">
        <f t="shared" si="7"/>
        <v>0</v>
      </c>
      <c r="S47" s="9">
        <f>I47*$J47</f>
        <v>0</v>
      </c>
    </row>
    <row r="48" spans="1:19" x14ac:dyDescent="0.3">
      <c r="A48" s="7" t="s">
        <v>44</v>
      </c>
      <c r="B48" s="8">
        <v>7.9</v>
      </c>
      <c r="C48" s="8">
        <v>2.6</v>
      </c>
      <c r="D48" s="8">
        <v>0</v>
      </c>
      <c r="E48" s="8">
        <v>0</v>
      </c>
      <c r="F48" s="8">
        <v>0</v>
      </c>
      <c r="G48" s="8">
        <v>0</v>
      </c>
      <c r="H48" s="8">
        <v>0.64</v>
      </c>
      <c r="I48" s="9">
        <v>42</v>
      </c>
      <c r="J48" s="10"/>
      <c r="L48" s="8">
        <f t="shared" si="7"/>
        <v>0</v>
      </c>
      <c r="M48" s="8">
        <f t="shared" si="7"/>
        <v>0</v>
      </c>
      <c r="N48" s="8">
        <f t="shared" si="7"/>
        <v>0</v>
      </c>
      <c r="O48" s="8">
        <f t="shared" si="7"/>
        <v>0</v>
      </c>
      <c r="P48" s="8">
        <f t="shared" si="7"/>
        <v>0</v>
      </c>
      <c r="Q48" s="8">
        <f t="shared" si="7"/>
        <v>0</v>
      </c>
      <c r="R48" s="8">
        <f t="shared" si="7"/>
        <v>0</v>
      </c>
      <c r="S48" s="9">
        <f>I48*$J48</f>
        <v>0</v>
      </c>
    </row>
    <row r="49" spans="1:19" ht="24" x14ac:dyDescent="0.3">
      <c r="A49" s="7" t="s">
        <v>16</v>
      </c>
      <c r="B49" s="8">
        <v>6.2</v>
      </c>
      <c r="C49" s="8">
        <v>6.4</v>
      </c>
      <c r="D49" s="8">
        <v>0</v>
      </c>
      <c r="E49" s="8">
        <v>0.2</v>
      </c>
      <c r="F49" s="8">
        <v>0.1</v>
      </c>
      <c r="G49" s="8">
        <v>0</v>
      </c>
      <c r="H49" s="8">
        <v>0.14000000000000001</v>
      </c>
      <c r="I49" s="9">
        <v>56</v>
      </c>
      <c r="J49" s="10"/>
      <c r="L49" s="8">
        <f>B49*$J49</f>
        <v>0</v>
      </c>
      <c r="M49" s="8">
        <f t="shared" si="7"/>
        <v>0</v>
      </c>
      <c r="N49" s="8">
        <f t="shared" si="7"/>
        <v>0</v>
      </c>
      <c r="O49" s="8">
        <f t="shared" si="7"/>
        <v>0</v>
      </c>
      <c r="P49" s="8">
        <f t="shared" si="7"/>
        <v>0</v>
      </c>
      <c r="Q49" s="8">
        <f t="shared" si="7"/>
        <v>0</v>
      </c>
      <c r="R49" s="8">
        <f t="shared" si="7"/>
        <v>0</v>
      </c>
      <c r="S49" s="9">
        <f t="shared" si="7"/>
        <v>0</v>
      </c>
    </row>
    <row r="50" spans="1:19" x14ac:dyDescent="0.3">
      <c r="A50" s="7"/>
      <c r="B50" s="8"/>
      <c r="C50" s="8"/>
      <c r="D50" s="8"/>
      <c r="E50" s="8"/>
      <c r="F50" s="8"/>
      <c r="G50" s="8"/>
      <c r="H50" s="8"/>
      <c r="I50" s="9"/>
      <c r="J50" s="10"/>
      <c r="L50" s="8">
        <f t="shared" ref="L50" si="8">B50*$J50</f>
        <v>0</v>
      </c>
      <c r="M50" s="8">
        <f t="shared" si="7"/>
        <v>0</v>
      </c>
      <c r="N50" s="8">
        <f t="shared" si="7"/>
        <v>0</v>
      </c>
      <c r="O50" s="8">
        <f t="shared" si="7"/>
        <v>0</v>
      </c>
      <c r="P50" s="8">
        <f t="shared" si="7"/>
        <v>0</v>
      </c>
      <c r="Q50" s="8">
        <f t="shared" si="7"/>
        <v>0</v>
      </c>
      <c r="R50" s="8">
        <f t="shared" si="7"/>
        <v>0</v>
      </c>
      <c r="S50" s="9">
        <f>I50*$J50</f>
        <v>0</v>
      </c>
    </row>
    <row r="51" spans="1:19" x14ac:dyDescent="0.3">
      <c r="A51" s="7"/>
      <c r="B51" s="8"/>
      <c r="C51" s="8"/>
      <c r="D51" s="8"/>
      <c r="E51" s="8"/>
      <c r="F51" s="8"/>
      <c r="G51" s="8"/>
      <c r="H51" s="8"/>
      <c r="I51" s="9"/>
      <c r="J51" s="10"/>
      <c r="L51" s="8">
        <f>B51*$J51</f>
        <v>0</v>
      </c>
      <c r="M51" s="8">
        <f t="shared" si="7"/>
        <v>0</v>
      </c>
      <c r="N51" s="8">
        <f t="shared" si="7"/>
        <v>0</v>
      </c>
      <c r="O51" s="8">
        <f t="shared" si="7"/>
        <v>0</v>
      </c>
      <c r="P51" s="8">
        <f t="shared" si="7"/>
        <v>0</v>
      </c>
      <c r="Q51" s="8">
        <f t="shared" si="7"/>
        <v>0</v>
      </c>
      <c r="R51" s="8">
        <f t="shared" si="7"/>
        <v>0</v>
      </c>
      <c r="S51" s="9">
        <f t="shared" si="7"/>
        <v>0</v>
      </c>
    </row>
    <row r="52" spans="1:19" x14ac:dyDescent="0.3">
      <c r="A52" s="4" t="s">
        <v>192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/>
      <c r="K52" s="6"/>
      <c r="L52" s="5">
        <f>B52*$J52</f>
        <v>0</v>
      </c>
      <c r="M52" s="5">
        <f t="shared" si="7"/>
        <v>0</v>
      </c>
      <c r="N52" s="5">
        <f t="shared" si="7"/>
        <v>0</v>
      </c>
      <c r="O52" s="5">
        <f t="shared" si="7"/>
        <v>0</v>
      </c>
      <c r="P52" s="5">
        <f t="shared" si="7"/>
        <v>0</v>
      </c>
      <c r="Q52" s="5">
        <f t="shared" si="7"/>
        <v>0</v>
      </c>
      <c r="R52" s="5">
        <f t="shared" si="7"/>
        <v>0</v>
      </c>
      <c r="S52" s="5">
        <f t="shared" si="7"/>
        <v>0</v>
      </c>
    </row>
    <row r="53" spans="1:19" ht="36" x14ac:dyDescent="0.3">
      <c r="A53" s="7" t="s">
        <v>31</v>
      </c>
      <c r="B53" s="8">
        <v>1.8</v>
      </c>
      <c r="C53" s="8">
        <v>20</v>
      </c>
      <c r="D53" s="8">
        <v>0</v>
      </c>
      <c r="E53" s="8">
        <v>0</v>
      </c>
      <c r="F53" s="8">
        <v>0</v>
      </c>
      <c r="G53" s="8">
        <v>2</v>
      </c>
      <c r="H53" s="8">
        <v>0.01</v>
      </c>
      <c r="I53" s="9">
        <v>87</v>
      </c>
      <c r="J53" s="10"/>
      <c r="L53" s="8">
        <f t="shared" ref="L53:S62" si="9">B53*$J53</f>
        <v>0</v>
      </c>
      <c r="M53" s="8">
        <f t="shared" si="9"/>
        <v>0</v>
      </c>
      <c r="N53" s="8">
        <f t="shared" si="9"/>
        <v>0</v>
      </c>
      <c r="O53" s="8">
        <f t="shared" si="9"/>
        <v>0</v>
      </c>
      <c r="P53" s="8">
        <f t="shared" si="9"/>
        <v>0</v>
      </c>
      <c r="Q53" s="8">
        <f t="shared" si="9"/>
        <v>0</v>
      </c>
      <c r="R53" s="8">
        <f t="shared" si="9"/>
        <v>0</v>
      </c>
      <c r="S53" s="9">
        <f t="shared" si="9"/>
        <v>0</v>
      </c>
    </row>
    <row r="54" spans="1:19" ht="24" x14ac:dyDescent="0.3">
      <c r="A54" s="7" t="s">
        <v>32</v>
      </c>
      <c r="B54" s="8">
        <v>2.5</v>
      </c>
      <c r="C54" s="8">
        <v>29</v>
      </c>
      <c r="D54" s="8">
        <v>0</v>
      </c>
      <c r="E54" s="8">
        <v>0.2</v>
      </c>
      <c r="F54" s="8">
        <v>0.1</v>
      </c>
      <c r="G54" s="8">
        <v>0.4</v>
      </c>
      <c r="H54" s="8">
        <v>0.3</v>
      </c>
      <c r="I54" s="9">
        <v>130</v>
      </c>
      <c r="J54" s="10"/>
      <c r="L54" s="8">
        <f t="shared" si="9"/>
        <v>0</v>
      </c>
      <c r="M54" s="8">
        <f t="shared" si="9"/>
        <v>0</v>
      </c>
      <c r="N54" s="8">
        <f t="shared" si="9"/>
        <v>0</v>
      </c>
      <c r="O54" s="8">
        <f t="shared" si="9"/>
        <v>0</v>
      </c>
      <c r="P54" s="8">
        <f t="shared" si="9"/>
        <v>0</v>
      </c>
      <c r="Q54" s="8">
        <f t="shared" si="9"/>
        <v>0</v>
      </c>
      <c r="R54" s="8">
        <f t="shared" si="9"/>
        <v>0</v>
      </c>
      <c r="S54" s="9">
        <f t="shared" si="9"/>
        <v>0</v>
      </c>
    </row>
    <row r="55" spans="1:19" ht="24" x14ac:dyDescent="0.3">
      <c r="A55" s="7" t="s">
        <v>33</v>
      </c>
      <c r="B55" s="8">
        <v>2.93</v>
      </c>
      <c r="C55" s="8">
        <v>25.7</v>
      </c>
      <c r="D55" s="8">
        <v>0</v>
      </c>
      <c r="E55" s="8">
        <v>0.93</v>
      </c>
      <c r="F55" s="8">
        <v>0.3</v>
      </c>
      <c r="G55" s="8">
        <v>1.03</v>
      </c>
      <c r="H55" s="8">
        <v>0.03</v>
      </c>
      <c r="I55" s="9">
        <v>125</v>
      </c>
      <c r="J55" s="10"/>
      <c r="L55" s="8">
        <f t="shared" si="9"/>
        <v>0</v>
      </c>
      <c r="M55" s="8">
        <f t="shared" si="9"/>
        <v>0</v>
      </c>
      <c r="N55" s="8">
        <f t="shared" si="9"/>
        <v>0</v>
      </c>
      <c r="O55" s="8">
        <f t="shared" si="9"/>
        <v>0</v>
      </c>
      <c r="P55" s="8">
        <f t="shared" si="9"/>
        <v>0</v>
      </c>
      <c r="Q55" s="8">
        <f t="shared" si="9"/>
        <v>0</v>
      </c>
      <c r="R55" s="8">
        <f t="shared" si="9"/>
        <v>0</v>
      </c>
      <c r="S55" s="9">
        <f t="shared" si="9"/>
        <v>0</v>
      </c>
    </row>
    <row r="56" spans="1:19" x14ac:dyDescent="0.3">
      <c r="A56" s="7" t="s">
        <v>41</v>
      </c>
      <c r="B56" s="8">
        <v>1</v>
      </c>
      <c r="C56" s="8">
        <v>5.5</v>
      </c>
      <c r="D56" s="8">
        <v>0.18</v>
      </c>
      <c r="E56" s="8">
        <v>0.92</v>
      </c>
      <c r="F56" s="8">
        <v>0.16</v>
      </c>
      <c r="G56" s="8">
        <v>0.36</v>
      </c>
      <c r="H56" s="8">
        <v>0</v>
      </c>
      <c r="I56" s="9">
        <v>35.25</v>
      </c>
      <c r="J56" s="10"/>
      <c r="L56" s="8">
        <f t="shared" si="9"/>
        <v>0</v>
      </c>
      <c r="M56" s="8">
        <f t="shared" si="9"/>
        <v>0</v>
      </c>
      <c r="N56" s="8">
        <f t="shared" si="9"/>
        <v>0</v>
      </c>
      <c r="O56" s="8">
        <f t="shared" si="9"/>
        <v>0</v>
      </c>
      <c r="P56" s="8">
        <f t="shared" si="9"/>
        <v>0</v>
      </c>
      <c r="Q56" s="8">
        <f t="shared" si="9"/>
        <v>0</v>
      </c>
      <c r="R56" s="8">
        <f t="shared" si="9"/>
        <v>0</v>
      </c>
      <c r="S56" s="9">
        <f t="shared" si="9"/>
        <v>0</v>
      </c>
    </row>
    <row r="57" spans="1:19" x14ac:dyDescent="0.3">
      <c r="A57" s="7" t="s">
        <v>149</v>
      </c>
      <c r="B57" s="8">
        <v>1</v>
      </c>
      <c r="C57" s="8">
        <v>6.09</v>
      </c>
      <c r="D57" s="8">
        <v>0.25</v>
      </c>
      <c r="E57" s="8">
        <v>1</v>
      </c>
      <c r="F57" s="8">
        <v>0.17</v>
      </c>
      <c r="G57" s="8">
        <v>0.34</v>
      </c>
      <c r="H57" s="8">
        <v>0.12</v>
      </c>
      <c r="I57" s="9">
        <v>38.299999999999997</v>
      </c>
      <c r="J57" s="10"/>
      <c r="L57" s="8">
        <f t="shared" si="9"/>
        <v>0</v>
      </c>
      <c r="M57" s="8">
        <f t="shared" si="9"/>
        <v>0</v>
      </c>
      <c r="N57" s="8">
        <f t="shared" si="9"/>
        <v>0</v>
      </c>
      <c r="O57" s="8">
        <f t="shared" si="9"/>
        <v>0</v>
      </c>
      <c r="P57" s="8">
        <f t="shared" si="9"/>
        <v>0</v>
      </c>
      <c r="Q57" s="8">
        <f t="shared" si="9"/>
        <v>0</v>
      </c>
      <c r="R57" s="8">
        <f t="shared" si="9"/>
        <v>0</v>
      </c>
      <c r="S57" s="9">
        <f>I57*$J57</f>
        <v>0</v>
      </c>
    </row>
    <row r="58" spans="1:19" x14ac:dyDescent="0.3">
      <c r="A58" s="7"/>
      <c r="B58" s="8"/>
      <c r="C58" s="8"/>
      <c r="D58" s="8"/>
      <c r="E58" s="8"/>
      <c r="F58" s="8"/>
      <c r="G58" s="8"/>
      <c r="H58" s="8"/>
      <c r="I58" s="9"/>
      <c r="J58" s="10"/>
      <c r="L58" s="8">
        <f t="shared" si="9"/>
        <v>0</v>
      </c>
      <c r="M58" s="8">
        <f t="shared" si="9"/>
        <v>0</v>
      </c>
      <c r="N58" s="8">
        <f t="shared" si="9"/>
        <v>0</v>
      </c>
      <c r="O58" s="8">
        <f t="shared" si="9"/>
        <v>0</v>
      </c>
      <c r="P58" s="8">
        <f t="shared" si="9"/>
        <v>0</v>
      </c>
      <c r="Q58" s="8">
        <f t="shared" si="9"/>
        <v>0</v>
      </c>
      <c r="R58" s="8">
        <f t="shared" si="9"/>
        <v>0</v>
      </c>
      <c r="S58" s="9">
        <f>I58*$J58</f>
        <v>0</v>
      </c>
    </row>
    <row r="59" spans="1:19" ht="24" x14ac:dyDescent="0.3">
      <c r="A59" s="7" t="s">
        <v>50</v>
      </c>
      <c r="B59" s="8">
        <v>4.5</v>
      </c>
      <c r="C59" s="8">
        <v>5.7</v>
      </c>
      <c r="D59" s="8">
        <v>0.8</v>
      </c>
      <c r="E59" s="8">
        <v>2.4</v>
      </c>
      <c r="F59" s="8">
        <v>0.3</v>
      </c>
      <c r="G59" s="8">
        <v>4.5</v>
      </c>
      <c r="H59" s="8">
        <v>0.3</v>
      </c>
      <c r="I59" s="9">
        <v>71</v>
      </c>
      <c r="J59" s="10"/>
      <c r="L59" s="8">
        <f t="shared" si="9"/>
        <v>0</v>
      </c>
      <c r="M59" s="8">
        <f t="shared" si="9"/>
        <v>0</v>
      </c>
      <c r="N59" s="8">
        <f t="shared" si="9"/>
        <v>0</v>
      </c>
      <c r="O59" s="8">
        <f t="shared" si="9"/>
        <v>0</v>
      </c>
      <c r="P59" s="8">
        <f t="shared" si="9"/>
        <v>0</v>
      </c>
      <c r="Q59" s="8">
        <f t="shared" si="9"/>
        <v>0</v>
      </c>
      <c r="R59" s="8">
        <f t="shared" si="9"/>
        <v>0</v>
      </c>
      <c r="S59" s="9">
        <f t="shared" si="9"/>
        <v>0</v>
      </c>
    </row>
    <row r="60" spans="1:19" x14ac:dyDescent="0.3">
      <c r="A60" s="7"/>
      <c r="B60" s="8"/>
      <c r="C60" s="8"/>
      <c r="D60" s="8"/>
      <c r="E60" s="8"/>
      <c r="F60" s="8"/>
      <c r="G60" s="8"/>
      <c r="H60" s="8"/>
      <c r="I60" s="9"/>
      <c r="J60" s="10"/>
      <c r="L60" s="8">
        <f t="shared" si="9"/>
        <v>0</v>
      </c>
      <c r="M60" s="8">
        <f t="shared" si="9"/>
        <v>0</v>
      </c>
      <c r="N60" s="8">
        <f t="shared" si="9"/>
        <v>0</v>
      </c>
      <c r="O60" s="8">
        <f t="shared" si="9"/>
        <v>0</v>
      </c>
      <c r="P60" s="8">
        <f t="shared" si="9"/>
        <v>0</v>
      </c>
      <c r="Q60" s="8">
        <f t="shared" si="9"/>
        <v>0</v>
      </c>
      <c r="R60" s="8">
        <f t="shared" si="9"/>
        <v>0</v>
      </c>
      <c r="S60" s="9">
        <f>I60*$J60</f>
        <v>0</v>
      </c>
    </row>
    <row r="61" spans="1:19" x14ac:dyDescent="0.3">
      <c r="A61" s="7" t="s">
        <v>195</v>
      </c>
      <c r="B61" s="8">
        <v>9.1999999999999993</v>
      </c>
      <c r="C61" s="8">
        <v>88.2</v>
      </c>
      <c r="D61" s="8">
        <v>20.5</v>
      </c>
      <c r="E61" s="8">
        <v>25.5</v>
      </c>
      <c r="F61" s="8">
        <v>15.8</v>
      </c>
      <c r="G61" s="8">
        <v>5.2</v>
      </c>
      <c r="H61" s="8">
        <v>0.05</v>
      </c>
      <c r="I61" s="9">
        <v>625</v>
      </c>
      <c r="J61" s="10">
        <v>1</v>
      </c>
      <c r="L61" s="8">
        <f t="shared" si="9"/>
        <v>9.1999999999999993</v>
      </c>
      <c r="M61" s="8">
        <f t="shared" si="9"/>
        <v>88.2</v>
      </c>
      <c r="N61" s="8">
        <f t="shared" si="9"/>
        <v>20.5</v>
      </c>
      <c r="O61" s="8">
        <f t="shared" si="9"/>
        <v>25.5</v>
      </c>
      <c r="P61" s="8">
        <f t="shared" si="9"/>
        <v>15.8</v>
      </c>
      <c r="Q61" s="8">
        <f t="shared" si="9"/>
        <v>5.2</v>
      </c>
      <c r="R61" s="8">
        <f t="shared" si="9"/>
        <v>0.05</v>
      </c>
      <c r="S61" s="9">
        <f>I61*$J61</f>
        <v>625</v>
      </c>
    </row>
    <row r="62" spans="1:19" x14ac:dyDescent="0.3">
      <c r="A62" s="4" t="s">
        <v>193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/>
      <c r="K62" s="6"/>
      <c r="L62" s="5">
        <f>B62*$J62</f>
        <v>0</v>
      </c>
      <c r="M62" s="5">
        <f t="shared" si="9"/>
        <v>0</v>
      </c>
      <c r="N62" s="5">
        <f t="shared" si="9"/>
        <v>0</v>
      </c>
      <c r="O62" s="5">
        <f t="shared" si="9"/>
        <v>0</v>
      </c>
      <c r="P62" s="5">
        <f t="shared" si="9"/>
        <v>0</v>
      </c>
      <c r="Q62" s="5">
        <f t="shared" si="9"/>
        <v>0</v>
      </c>
      <c r="R62" s="5">
        <f t="shared" si="9"/>
        <v>0</v>
      </c>
      <c r="S62" s="5">
        <f t="shared" si="9"/>
        <v>0</v>
      </c>
    </row>
    <row r="63" spans="1:19" x14ac:dyDescent="0.3">
      <c r="A63" s="7" t="s">
        <v>12</v>
      </c>
      <c r="B63" s="8">
        <v>0</v>
      </c>
      <c r="C63" s="8">
        <v>9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9">
        <v>29</v>
      </c>
      <c r="J63" s="10"/>
      <c r="L63" s="8">
        <f t="shared" ref="L63:S73" si="10">B63*$J63</f>
        <v>0</v>
      </c>
      <c r="M63" s="8">
        <f t="shared" si="10"/>
        <v>0</v>
      </c>
      <c r="N63" s="8">
        <f t="shared" si="10"/>
        <v>0</v>
      </c>
      <c r="O63" s="8">
        <f t="shared" si="10"/>
        <v>0</v>
      </c>
      <c r="P63" s="8">
        <f t="shared" si="10"/>
        <v>0</v>
      </c>
      <c r="Q63" s="8">
        <f t="shared" si="10"/>
        <v>0</v>
      </c>
      <c r="R63" s="8">
        <f t="shared" si="10"/>
        <v>0</v>
      </c>
      <c r="S63" s="9">
        <f t="shared" si="10"/>
        <v>0</v>
      </c>
    </row>
    <row r="64" spans="1:19" x14ac:dyDescent="0.3">
      <c r="A64" s="7" t="s">
        <v>24</v>
      </c>
      <c r="B64" s="8">
        <v>1.1000000000000001</v>
      </c>
      <c r="C64" s="8">
        <v>23</v>
      </c>
      <c r="D64" s="8">
        <v>0</v>
      </c>
      <c r="E64" s="8">
        <v>0.3</v>
      </c>
      <c r="F64" s="8">
        <v>0.1</v>
      </c>
      <c r="G64" s="8">
        <v>2.6</v>
      </c>
      <c r="H64" s="8">
        <v>1E-3</v>
      </c>
      <c r="I64" s="9">
        <v>89</v>
      </c>
      <c r="J64" s="10"/>
      <c r="L64" s="8">
        <f t="shared" si="10"/>
        <v>0</v>
      </c>
      <c r="M64" s="8">
        <f t="shared" si="10"/>
        <v>0</v>
      </c>
      <c r="N64" s="8">
        <f t="shared" si="10"/>
        <v>0</v>
      </c>
      <c r="O64" s="8">
        <f t="shared" si="10"/>
        <v>0</v>
      </c>
      <c r="P64" s="8">
        <f t="shared" si="10"/>
        <v>0</v>
      </c>
      <c r="Q64" s="8">
        <f t="shared" si="10"/>
        <v>0</v>
      </c>
      <c r="R64" s="8">
        <f t="shared" si="10"/>
        <v>0</v>
      </c>
      <c r="S64" s="9">
        <f t="shared" si="10"/>
        <v>0</v>
      </c>
    </row>
    <row r="65" spans="1:19" ht="24" x14ac:dyDescent="0.3">
      <c r="A65" s="7" t="s">
        <v>66</v>
      </c>
      <c r="B65" s="8">
        <v>0.6</v>
      </c>
      <c r="C65" s="8">
        <v>19</v>
      </c>
      <c r="D65" s="8">
        <v>0</v>
      </c>
      <c r="E65" s="8">
        <v>0.2</v>
      </c>
      <c r="F65" s="8">
        <v>0</v>
      </c>
      <c r="G65" s="8">
        <v>4.2</v>
      </c>
      <c r="H65" s="8">
        <v>0</v>
      </c>
      <c r="I65" s="9">
        <v>75</v>
      </c>
      <c r="J65" s="10"/>
      <c r="L65" s="8">
        <f t="shared" si="10"/>
        <v>0</v>
      </c>
      <c r="M65" s="8">
        <f t="shared" si="10"/>
        <v>0</v>
      </c>
      <c r="N65" s="8">
        <f t="shared" si="10"/>
        <v>0</v>
      </c>
      <c r="O65" s="8">
        <f t="shared" si="10"/>
        <v>0</v>
      </c>
      <c r="P65" s="8">
        <f t="shared" si="10"/>
        <v>0</v>
      </c>
      <c r="Q65" s="8">
        <f t="shared" si="10"/>
        <v>0</v>
      </c>
      <c r="R65" s="8">
        <f t="shared" si="10"/>
        <v>0</v>
      </c>
      <c r="S65" s="9">
        <f t="shared" si="10"/>
        <v>0</v>
      </c>
    </row>
    <row r="66" spans="1:19" x14ac:dyDescent="0.3">
      <c r="A66" s="7" t="s">
        <v>20</v>
      </c>
      <c r="B66" s="8">
        <v>1.1000000000000001</v>
      </c>
      <c r="C66" s="8">
        <v>15</v>
      </c>
      <c r="D66" s="8">
        <v>0</v>
      </c>
      <c r="E66" s="8">
        <v>0.5</v>
      </c>
      <c r="F66" s="8">
        <v>0</v>
      </c>
      <c r="G66" s="8">
        <v>3</v>
      </c>
      <c r="H66" s="8">
        <v>3.0000000000000001E-3</v>
      </c>
      <c r="I66" s="9">
        <v>61</v>
      </c>
      <c r="J66" s="10"/>
      <c r="L66" s="8">
        <f t="shared" si="10"/>
        <v>0</v>
      </c>
      <c r="M66" s="8">
        <f t="shared" si="10"/>
        <v>0</v>
      </c>
      <c r="N66" s="8">
        <f t="shared" si="10"/>
        <v>0</v>
      </c>
      <c r="O66" s="8">
        <f t="shared" si="10"/>
        <v>0</v>
      </c>
      <c r="P66" s="8">
        <f t="shared" si="10"/>
        <v>0</v>
      </c>
      <c r="Q66" s="8">
        <f t="shared" si="10"/>
        <v>0</v>
      </c>
      <c r="R66" s="8">
        <f t="shared" si="10"/>
        <v>0</v>
      </c>
      <c r="S66" s="9">
        <f t="shared" si="10"/>
        <v>0</v>
      </c>
    </row>
    <row r="67" spans="1:19" x14ac:dyDescent="0.3">
      <c r="A67" s="7" t="s">
        <v>51</v>
      </c>
      <c r="B67" s="8">
        <v>0.3</v>
      </c>
      <c r="C67" s="8">
        <v>14</v>
      </c>
      <c r="D67" s="8">
        <v>0</v>
      </c>
      <c r="E67" s="8">
        <v>0.2</v>
      </c>
      <c r="F67" s="8">
        <v>0</v>
      </c>
      <c r="G67" s="8">
        <v>2.4</v>
      </c>
      <c r="H67" s="8">
        <v>0.01</v>
      </c>
      <c r="I67" s="9">
        <v>52</v>
      </c>
      <c r="J67" s="10"/>
      <c r="L67" s="8">
        <f t="shared" si="10"/>
        <v>0</v>
      </c>
      <c r="M67" s="8">
        <f t="shared" si="10"/>
        <v>0</v>
      </c>
      <c r="N67" s="8">
        <f t="shared" si="10"/>
        <v>0</v>
      </c>
      <c r="O67" s="8">
        <f t="shared" si="10"/>
        <v>0</v>
      </c>
      <c r="P67" s="8">
        <f t="shared" si="10"/>
        <v>0</v>
      </c>
      <c r="Q67" s="8">
        <f t="shared" si="10"/>
        <v>0</v>
      </c>
      <c r="R67" s="8">
        <f t="shared" si="10"/>
        <v>0</v>
      </c>
      <c r="S67" s="9">
        <f t="shared" si="10"/>
        <v>0</v>
      </c>
    </row>
    <row r="68" spans="1:19" x14ac:dyDescent="0.3">
      <c r="A68" s="7" t="s">
        <v>52</v>
      </c>
      <c r="B68" s="8">
        <v>0.4</v>
      </c>
      <c r="C68" s="8">
        <v>12</v>
      </c>
      <c r="D68" s="8">
        <v>0</v>
      </c>
      <c r="E68" s="8">
        <v>0.5</v>
      </c>
      <c r="F68" s="8">
        <v>0</v>
      </c>
      <c r="G68" s="8">
        <v>2.9</v>
      </c>
      <c r="H68" s="8">
        <v>0</v>
      </c>
      <c r="I68" s="9">
        <v>61</v>
      </c>
      <c r="J68" s="10"/>
      <c r="L68" s="8">
        <f t="shared" si="10"/>
        <v>0</v>
      </c>
      <c r="M68" s="8">
        <f t="shared" si="10"/>
        <v>0</v>
      </c>
      <c r="N68" s="8">
        <f t="shared" si="10"/>
        <v>0</v>
      </c>
      <c r="O68" s="8">
        <f t="shared" si="10"/>
        <v>0</v>
      </c>
      <c r="P68" s="8">
        <f t="shared" si="10"/>
        <v>0</v>
      </c>
      <c r="Q68" s="8">
        <f t="shared" si="10"/>
        <v>0</v>
      </c>
      <c r="R68" s="8">
        <f t="shared" si="10"/>
        <v>0</v>
      </c>
      <c r="S68" s="9">
        <f t="shared" si="10"/>
        <v>0</v>
      </c>
    </row>
    <row r="69" spans="1:19" x14ac:dyDescent="0.3">
      <c r="A69" s="7" t="s">
        <v>53</v>
      </c>
      <c r="B69" s="8">
        <v>1.9</v>
      </c>
      <c r="C69" s="8">
        <v>25</v>
      </c>
      <c r="D69" s="8">
        <v>0</v>
      </c>
      <c r="E69" s="8">
        <v>0.4</v>
      </c>
      <c r="F69" s="8">
        <v>0</v>
      </c>
      <c r="G69" s="8">
        <v>5</v>
      </c>
      <c r="H69" s="8">
        <v>3.0000000000000001E-3</v>
      </c>
      <c r="I69" s="9">
        <v>99</v>
      </c>
      <c r="J69" s="10"/>
      <c r="L69" s="8">
        <f t="shared" si="10"/>
        <v>0</v>
      </c>
      <c r="M69" s="8">
        <f t="shared" si="10"/>
        <v>0</v>
      </c>
      <c r="N69" s="8">
        <f t="shared" si="10"/>
        <v>0</v>
      </c>
      <c r="O69" s="8">
        <f t="shared" si="10"/>
        <v>0</v>
      </c>
      <c r="P69" s="8">
        <f t="shared" si="10"/>
        <v>0</v>
      </c>
      <c r="Q69" s="8">
        <f t="shared" si="10"/>
        <v>0</v>
      </c>
      <c r="R69" s="8">
        <f t="shared" si="10"/>
        <v>0</v>
      </c>
      <c r="S69" s="9">
        <f t="shared" si="10"/>
        <v>0</v>
      </c>
    </row>
    <row r="70" spans="1:19" x14ac:dyDescent="0.3">
      <c r="A70" s="7" t="s">
        <v>17</v>
      </c>
      <c r="B70" s="8">
        <v>0.7</v>
      </c>
      <c r="C70" s="8">
        <v>14.5</v>
      </c>
      <c r="D70" s="8">
        <v>0</v>
      </c>
      <c r="E70" s="8">
        <v>0.3</v>
      </c>
      <c r="F70" s="8">
        <v>0</v>
      </c>
      <c r="G70" s="8">
        <v>2.4</v>
      </c>
      <c r="H70" s="8">
        <v>0.01</v>
      </c>
      <c r="I70" s="9">
        <v>57</v>
      </c>
      <c r="J70" s="10"/>
      <c r="L70" s="8">
        <f t="shared" si="10"/>
        <v>0</v>
      </c>
      <c r="M70" s="8">
        <f t="shared" si="10"/>
        <v>0</v>
      </c>
      <c r="N70" s="8">
        <f t="shared" si="10"/>
        <v>0</v>
      </c>
      <c r="O70" s="8">
        <f t="shared" si="10"/>
        <v>0</v>
      </c>
      <c r="P70" s="8">
        <f t="shared" si="10"/>
        <v>0</v>
      </c>
      <c r="Q70" s="8">
        <f t="shared" si="10"/>
        <v>0</v>
      </c>
      <c r="R70" s="8">
        <f t="shared" si="10"/>
        <v>0</v>
      </c>
      <c r="S70" s="9">
        <f t="shared" si="10"/>
        <v>0</v>
      </c>
    </row>
    <row r="71" spans="1:19" x14ac:dyDescent="0.3">
      <c r="A71" s="7"/>
      <c r="B71" s="8"/>
      <c r="C71" s="8"/>
      <c r="D71" s="8"/>
      <c r="E71" s="8"/>
      <c r="F71" s="8"/>
      <c r="G71" s="8"/>
      <c r="H71" s="8"/>
      <c r="I71" s="9"/>
      <c r="J71" s="10"/>
      <c r="L71" s="8">
        <f t="shared" si="10"/>
        <v>0</v>
      </c>
      <c r="M71" s="8">
        <f t="shared" si="10"/>
        <v>0</v>
      </c>
      <c r="N71" s="8">
        <f t="shared" si="10"/>
        <v>0</v>
      </c>
      <c r="O71" s="8">
        <f t="shared" si="10"/>
        <v>0</v>
      </c>
      <c r="P71" s="8">
        <f t="shared" si="10"/>
        <v>0</v>
      </c>
      <c r="Q71" s="8">
        <f t="shared" si="10"/>
        <v>0</v>
      </c>
      <c r="R71" s="8">
        <f t="shared" si="10"/>
        <v>0</v>
      </c>
      <c r="S71" s="9">
        <f t="shared" si="10"/>
        <v>0</v>
      </c>
    </row>
    <row r="72" spans="1:19" x14ac:dyDescent="0.3">
      <c r="A72" s="7"/>
      <c r="B72" s="8"/>
      <c r="C72" s="8"/>
      <c r="D72" s="8"/>
      <c r="E72" s="8"/>
      <c r="F72" s="8"/>
      <c r="G72" s="8"/>
      <c r="H72" s="8"/>
      <c r="I72" s="9"/>
      <c r="J72" s="10"/>
      <c r="L72" s="8">
        <f t="shared" si="10"/>
        <v>0</v>
      </c>
      <c r="M72" s="8">
        <f t="shared" si="10"/>
        <v>0</v>
      </c>
      <c r="N72" s="8">
        <f t="shared" si="10"/>
        <v>0</v>
      </c>
      <c r="O72" s="8">
        <f t="shared" si="10"/>
        <v>0</v>
      </c>
      <c r="P72" s="8">
        <f t="shared" si="10"/>
        <v>0</v>
      </c>
      <c r="Q72" s="8">
        <f t="shared" si="10"/>
        <v>0</v>
      </c>
      <c r="R72" s="8">
        <f t="shared" si="10"/>
        <v>0</v>
      </c>
      <c r="S72" s="9">
        <f t="shared" si="10"/>
        <v>0</v>
      </c>
    </row>
    <row r="73" spans="1:19" x14ac:dyDescent="0.3">
      <c r="A73" s="4" t="s">
        <v>194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/>
      <c r="K73" s="6"/>
      <c r="L73" s="5">
        <f>B73*$J73</f>
        <v>0</v>
      </c>
      <c r="M73" s="5">
        <f t="shared" si="10"/>
        <v>0</v>
      </c>
      <c r="N73" s="5">
        <f t="shared" si="10"/>
        <v>0</v>
      </c>
      <c r="O73" s="5">
        <f t="shared" si="10"/>
        <v>0</v>
      </c>
      <c r="P73" s="5">
        <f t="shared" si="10"/>
        <v>0</v>
      </c>
      <c r="Q73" s="5">
        <f t="shared" si="10"/>
        <v>0</v>
      </c>
      <c r="R73" s="5">
        <f t="shared" si="10"/>
        <v>0</v>
      </c>
      <c r="S73" s="5">
        <f t="shared" si="10"/>
        <v>0</v>
      </c>
    </row>
    <row r="74" spans="1:19" ht="24" x14ac:dyDescent="0.3">
      <c r="A74" s="7" t="s">
        <v>57</v>
      </c>
      <c r="B74" s="8">
        <v>1.4</v>
      </c>
      <c r="C74" s="8">
        <v>6.48</v>
      </c>
      <c r="D74" s="8">
        <v>0.1</v>
      </c>
      <c r="E74" s="8">
        <v>0.22</v>
      </c>
      <c r="F74" s="8">
        <v>0.05</v>
      </c>
      <c r="G74" s="8">
        <v>1</v>
      </c>
      <c r="H74" s="8">
        <v>1E-3</v>
      </c>
      <c r="I74" s="9">
        <v>35.700000000000003</v>
      </c>
      <c r="J74" s="10"/>
      <c r="L74" s="8">
        <f t="shared" ref="L74:S80" si="11">B74*$J74</f>
        <v>0</v>
      </c>
      <c r="M74" s="8">
        <f t="shared" si="11"/>
        <v>0</v>
      </c>
      <c r="N74" s="8">
        <f t="shared" si="11"/>
        <v>0</v>
      </c>
      <c r="O74" s="8">
        <f t="shared" si="11"/>
        <v>0</v>
      </c>
      <c r="P74" s="8">
        <f t="shared" si="11"/>
        <v>0</v>
      </c>
      <c r="Q74" s="8">
        <f t="shared" si="11"/>
        <v>0</v>
      </c>
      <c r="R74" s="8">
        <f t="shared" si="11"/>
        <v>0</v>
      </c>
      <c r="S74" s="9">
        <f t="shared" si="11"/>
        <v>0</v>
      </c>
    </row>
    <row r="75" spans="1:19" x14ac:dyDescent="0.3">
      <c r="A75" s="7" t="s">
        <v>55</v>
      </c>
      <c r="B75" s="8">
        <v>17</v>
      </c>
      <c r="C75" s="8">
        <v>10.1</v>
      </c>
      <c r="D75" s="8">
        <v>7.2</v>
      </c>
      <c r="E75" s="8">
        <v>4</v>
      </c>
      <c r="F75" s="8">
        <v>3</v>
      </c>
      <c r="G75" s="8">
        <v>1.8</v>
      </c>
      <c r="H75" s="8">
        <v>0.5</v>
      </c>
      <c r="I75" s="9">
        <v>149</v>
      </c>
      <c r="J75" s="10"/>
      <c r="L75" s="8">
        <f t="shared" si="11"/>
        <v>0</v>
      </c>
      <c r="M75" s="8">
        <f t="shared" si="11"/>
        <v>0</v>
      </c>
      <c r="N75" s="8">
        <f t="shared" si="11"/>
        <v>0</v>
      </c>
      <c r="O75" s="8">
        <f t="shared" si="11"/>
        <v>0</v>
      </c>
      <c r="P75" s="8">
        <f t="shared" si="11"/>
        <v>0</v>
      </c>
      <c r="Q75" s="8">
        <f t="shared" si="11"/>
        <v>0</v>
      </c>
      <c r="R75" s="8">
        <f t="shared" si="11"/>
        <v>0</v>
      </c>
      <c r="S75" s="9">
        <f t="shared" si="11"/>
        <v>0</v>
      </c>
    </row>
    <row r="76" spans="1:19" x14ac:dyDescent="0.3">
      <c r="A76" s="7" t="s">
        <v>56</v>
      </c>
      <c r="B76" s="8">
        <v>15</v>
      </c>
      <c r="C76" s="8">
        <v>9.6</v>
      </c>
      <c r="D76" s="8">
        <v>4.8</v>
      </c>
      <c r="E76" s="8">
        <v>3</v>
      </c>
      <c r="F76" s="8">
        <v>1.95</v>
      </c>
      <c r="G76" s="8">
        <v>2.7</v>
      </c>
      <c r="H76" s="8">
        <v>0.435</v>
      </c>
      <c r="I76" s="9">
        <v>130.5</v>
      </c>
      <c r="J76" s="10"/>
      <c r="L76" s="8">
        <f t="shared" si="11"/>
        <v>0</v>
      </c>
      <c r="M76" s="8">
        <f t="shared" si="11"/>
        <v>0</v>
      </c>
      <c r="N76" s="8">
        <f t="shared" si="11"/>
        <v>0</v>
      </c>
      <c r="O76" s="8">
        <f t="shared" si="11"/>
        <v>0</v>
      </c>
      <c r="P76" s="8">
        <f t="shared" si="11"/>
        <v>0</v>
      </c>
      <c r="Q76" s="8">
        <f t="shared" si="11"/>
        <v>0</v>
      </c>
      <c r="R76" s="8">
        <f t="shared" si="11"/>
        <v>0</v>
      </c>
      <c r="S76" s="9">
        <f t="shared" si="11"/>
        <v>0</v>
      </c>
    </row>
    <row r="77" spans="1:19" x14ac:dyDescent="0.3">
      <c r="A77" s="7" t="s">
        <v>67</v>
      </c>
      <c r="B77" s="8">
        <v>10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0.13</v>
      </c>
      <c r="I77" s="9">
        <v>40</v>
      </c>
      <c r="J77" s="10"/>
      <c r="L77" s="8">
        <f t="shared" si="11"/>
        <v>0</v>
      </c>
      <c r="M77" s="8">
        <f t="shared" si="11"/>
        <v>0</v>
      </c>
      <c r="N77" s="8">
        <f t="shared" si="11"/>
        <v>0</v>
      </c>
      <c r="O77" s="8">
        <f t="shared" si="11"/>
        <v>0</v>
      </c>
      <c r="P77" s="8">
        <f t="shared" si="11"/>
        <v>0</v>
      </c>
      <c r="Q77" s="8">
        <f t="shared" si="11"/>
        <v>0</v>
      </c>
      <c r="R77" s="8">
        <f t="shared" si="11"/>
        <v>0</v>
      </c>
      <c r="S77" s="9">
        <f t="shared" si="11"/>
        <v>0</v>
      </c>
    </row>
    <row r="78" spans="1:19" x14ac:dyDescent="0.3">
      <c r="A78" s="7" t="s">
        <v>139</v>
      </c>
      <c r="B78" s="8">
        <v>1.8</v>
      </c>
      <c r="C78" s="8">
        <v>0.6</v>
      </c>
      <c r="D78" s="8">
        <v>0</v>
      </c>
      <c r="E78" s="8">
        <v>0</v>
      </c>
      <c r="F78" s="8">
        <v>0</v>
      </c>
      <c r="G78" s="8">
        <v>0</v>
      </c>
      <c r="H78" s="8">
        <v>0.14000000000000001</v>
      </c>
      <c r="I78" s="9">
        <v>9</v>
      </c>
      <c r="J78" s="10"/>
      <c r="L78" s="8">
        <f t="shared" si="11"/>
        <v>0</v>
      </c>
      <c r="M78" s="8">
        <f t="shared" si="11"/>
        <v>0</v>
      </c>
      <c r="N78" s="8">
        <f t="shared" si="11"/>
        <v>0</v>
      </c>
      <c r="O78" s="8">
        <f t="shared" si="11"/>
        <v>0</v>
      </c>
      <c r="P78" s="8">
        <f t="shared" si="11"/>
        <v>0</v>
      </c>
      <c r="Q78" s="8">
        <f t="shared" si="11"/>
        <v>0</v>
      </c>
      <c r="R78" s="8">
        <f t="shared" si="11"/>
        <v>0</v>
      </c>
      <c r="S78" s="9">
        <f t="shared" si="11"/>
        <v>0</v>
      </c>
    </row>
    <row r="79" spans="1:19" ht="24" x14ac:dyDescent="0.3">
      <c r="A79" s="7" t="s">
        <v>69</v>
      </c>
      <c r="B79" s="8">
        <v>27</v>
      </c>
      <c r="C79" s="8">
        <v>21</v>
      </c>
      <c r="D79" s="8">
        <v>11</v>
      </c>
      <c r="E79" s="8">
        <v>9.1999999999999993</v>
      </c>
      <c r="F79" s="8">
        <v>2.2000000000000002</v>
      </c>
      <c r="G79" s="8">
        <v>5.3</v>
      </c>
      <c r="H79" s="8">
        <v>2.8</v>
      </c>
      <c r="I79" s="9">
        <v>288</v>
      </c>
      <c r="J79" s="10"/>
      <c r="L79" s="8">
        <f t="shared" si="11"/>
        <v>0</v>
      </c>
      <c r="M79" s="8">
        <f t="shared" si="11"/>
        <v>0</v>
      </c>
      <c r="N79" s="8">
        <f t="shared" si="11"/>
        <v>0</v>
      </c>
      <c r="O79" s="8">
        <f t="shared" si="11"/>
        <v>0</v>
      </c>
      <c r="P79" s="8">
        <f t="shared" si="11"/>
        <v>0</v>
      </c>
      <c r="Q79" s="8">
        <f t="shared" si="11"/>
        <v>0</v>
      </c>
      <c r="R79" s="8">
        <f t="shared" si="11"/>
        <v>0</v>
      </c>
      <c r="S79" s="9">
        <f t="shared" si="11"/>
        <v>0</v>
      </c>
    </row>
    <row r="80" spans="1:19" x14ac:dyDescent="0.3">
      <c r="A80" s="7"/>
      <c r="B80" s="8"/>
      <c r="C80" s="8"/>
      <c r="D80" s="8"/>
      <c r="E80" s="8"/>
      <c r="F80" s="8"/>
      <c r="G80" s="8"/>
      <c r="H80" s="8"/>
      <c r="I80" s="9"/>
      <c r="J80" s="10"/>
      <c r="L80" s="8">
        <f t="shared" si="11"/>
        <v>0</v>
      </c>
      <c r="M80" s="8">
        <f t="shared" si="11"/>
        <v>0</v>
      </c>
      <c r="N80" s="8">
        <f t="shared" si="11"/>
        <v>0</v>
      </c>
      <c r="O80" s="8">
        <f t="shared" si="11"/>
        <v>0</v>
      </c>
      <c r="P80" s="8">
        <f t="shared" si="11"/>
        <v>0</v>
      </c>
      <c r="Q80" s="8">
        <f t="shared" si="11"/>
        <v>0</v>
      </c>
      <c r="R80" s="8">
        <f t="shared" si="11"/>
        <v>0</v>
      </c>
      <c r="S80" s="9">
        <f t="shared" si="11"/>
        <v>0</v>
      </c>
    </row>
    <row r="82" spans="9:22" x14ac:dyDescent="0.3">
      <c r="K82" s="14" t="s">
        <v>70</v>
      </c>
      <c r="L82" s="2" t="s">
        <v>1</v>
      </c>
      <c r="M82" s="2" t="s">
        <v>2</v>
      </c>
      <c r="N82" s="2" t="s">
        <v>3</v>
      </c>
      <c r="O82" s="2" t="s">
        <v>4</v>
      </c>
      <c r="P82" s="2" t="s">
        <v>5</v>
      </c>
      <c r="Q82" s="2" t="s">
        <v>6</v>
      </c>
      <c r="R82" s="2" t="s">
        <v>7</v>
      </c>
      <c r="S82" s="3" t="s">
        <v>8</v>
      </c>
      <c r="T82" s="15" t="s">
        <v>71</v>
      </c>
      <c r="U82" s="16"/>
      <c r="V82" s="16"/>
    </row>
    <row r="83" spans="9:22" x14ac:dyDescent="0.3">
      <c r="L83">
        <f t="shared" ref="L83:S83" si="12">SUM(L3:L80)</f>
        <v>115.82</v>
      </c>
      <c r="M83">
        <f t="shared" si="12"/>
        <v>127.07000000000001</v>
      </c>
      <c r="N83">
        <f t="shared" si="12"/>
        <v>32.375</v>
      </c>
      <c r="O83">
        <f t="shared" si="12"/>
        <v>96.4</v>
      </c>
      <c r="P83">
        <f t="shared" si="12"/>
        <v>32.575000000000003</v>
      </c>
      <c r="Q83">
        <f t="shared" si="12"/>
        <v>23.580000000000002</v>
      </c>
      <c r="R83">
        <f t="shared" si="12"/>
        <v>4.0729999999999995</v>
      </c>
      <c r="S83">
        <f t="shared" si="12"/>
        <v>1930.95</v>
      </c>
      <c r="T83" s="17">
        <f>SUM(L83:R83)*0.1</f>
        <v>43.189299999999996</v>
      </c>
      <c r="U83" s="18">
        <f>T83/2</f>
        <v>21.594649999999998</v>
      </c>
      <c r="V83" t="s">
        <v>72</v>
      </c>
    </row>
    <row r="85" spans="9:22" ht="14.55" customHeight="1" x14ac:dyDescent="0.3">
      <c r="I85" s="33" t="s">
        <v>73</v>
      </c>
      <c r="J85" s="33"/>
      <c r="K85" t="s">
        <v>74</v>
      </c>
      <c r="L85" s="19" t="s">
        <v>75</v>
      </c>
      <c r="M85" s="19" t="s">
        <v>76</v>
      </c>
      <c r="N85" s="20" t="s">
        <v>77</v>
      </c>
      <c r="O85" s="19" t="s">
        <v>78</v>
      </c>
      <c r="P85" s="20" t="s">
        <v>79</v>
      </c>
      <c r="Q85" s="19" t="s">
        <v>80</v>
      </c>
      <c r="R85" s="20" t="s">
        <v>81</v>
      </c>
      <c r="S85" s="19" t="s">
        <v>82</v>
      </c>
    </row>
    <row r="86" spans="9:22" x14ac:dyDescent="0.3">
      <c r="I86" s="33"/>
      <c r="J86" s="33"/>
      <c r="K86" t="s">
        <v>83</v>
      </c>
      <c r="L86" t="s">
        <v>84</v>
      </c>
      <c r="M86" t="s">
        <v>85</v>
      </c>
      <c r="N86" s="21" t="s">
        <v>86</v>
      </c>
      <c r="O86" t="s">
        <v>87</v>
      </c>
      <c r="P86" s="21" t="s">
        <v>88</v>
      </c>
      <c r="Q86" t="s">
        <v>89</v>
      </c>
      <c r="R86" s="20" t="s">
        <v>81</v>
      </c>
      <c r="S86" t="s">
        <v>90</v>
      </c>
    </row>
    <row r="87" spans="9:22" x14ac:dyDescent="0.3">
      <c r="I87" s="33"/>
      <c r="J87" s="33"/>
      <c r="K87" t="s">
        <v>91</v>
      </c>
      <c r="L87" t="s">
        <v>92</v>
      </c>
      <c r="M87" t="s">
        <v>93</v>
      </c>
      <c r="N87" s="21" t="s">
        <v>94</v>
      </c>
      <c r="O87" t="s">
        <v>95</v>
      </c>
      <c r="P87" s="21" t="s">
        <v>96</v>
      </c>
      <c r="Q87" t="s">
        <v>89</v>
      </c>
      <c r="R87" s="20" t="s">
        <v>81</v>
      </c>
      <c r="S87" t="s">
        <v>97</v>
      </c>
    </row>
    <row r="88" spans="9:22" x14ac:dyDescent="0.3">
      <c r="N88" t="s">
        <v>98</v>
      </c>
    </row>
    <row r="89" spans="9:22" x14ac:dyDescent="0.3">
      <c r="I89" t="s">
        <v>99</v>
      </c>
    </row>
  </sheetData>
  <mergeCells count="2">
    <mergeCell ref="J1:K1"/>
    <mergeCell ref="I85:J8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58AA9-4B0A-4F5C-9993-C6EAB6D6419E}">
  <dimension ref="A1:V88"/>
  <sheetViews>
    <sheetView zoomScale="80" zoomScaleNormal="80" workbookViewId="0">
      <selection activeCell="I89" sqref="I89"/>
    </sheetView>
  </sheetViews>
  <sheetFormatPr defaultRowHeight="14.4" x14ac:dyDescent="0.3"/>
  <cols>
    <col min="1" max="1" width="21.5546875" customWidth="1"/>
    <col min="2" max="2" width="7.5546875" customWidth="1"/>
    <col min="3" max="3" width="6.77734375" customWidth="1"/>
    <col min="4" max="4" width="7.44140625" customWidth="1"/>
    <col min="5" max="5" width="6.5546875" customWidth="1"/>
    <col min="6" max="6" width="7.21875" customWidth="1"/>
    <col min="7" max="8" width="5.5546875" customWidth="1"/>
    <col min="9" max="9" width="7.5546875" customWidth="1"/>
    <col min="10" max="10" width="6.77734375" customWidth="1"/>
    <col min="11" max="11" width="7.21875" customWidth="1"/>
    <col min="12" max="12" width="7.44140625" customWidth="1"/>
    <col min="13" max="13" width="7" customWidth="1"/>
    <col min="14" max="14" width="8.44140625" customWidth="1"/>
    <col min="15" max="15" width="7.21875" customWidth="1"/>
    <col min="16" max="16" width="6.5546875" customWidth="1"/>
    <col min="17" max="17" width="6.21875" customWidth="1"/>
    <col min="18" max="18" width="5" customWidth="1"/>
    <col min="19" max="19" width="7.44140625" customWidth="1"/>
    <col min="20" max="20" width="6.88671875" customWidth="1"/>
    <col min="21" max="21" width="6.44140625" customWidth="1"/>
    <col min="22" max="22" width="9.109375" customWidth="1"/>
  </cols>
  <sheetData>
    <row r="1" spans="1:19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1" t="s">
        <v>9</v>
      </c>
      <c r="K1" s="32"/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  <c r="Q1" s="2" t="s">
        <v>6</v>
      </c>
      <c r="R1" s="2" t="s">
        <v>7</v>
      </c>
      <c r="S1" s="3" t="s">
        <v>8</v>
      </c>
    </row>
    <row r="2" spans="1:19" x14ac:dyDescent="0.3">
      <c r="A2" s="4" t="s">
        <v>186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/>
      <c r="K2" s="6"/>
      <c r="L2" s="5">
        <f>B2*$J2</f>
        <v>0</v>
      </c>
      <c r="M2" s="5">
        <f t="shared" ref="M2:S21" si="0">C2*$J2</f>
        <v>0</v>
      </c>
      <c r="N2" s="5">
        <f t="shared" si="0"/>
        <v>0</v>
      </c>
      <c r="O2" s="5">
        <f t="shared" si="0"/>
        <v>0</v>
      </c>
      <c r="P2" s="5">
        <f t="shared" si="0"/>
        <v>0</v>
      </c>
      <c r="Q2" s="5">
        <f t="shared" si="0"/>
        <v>0</v>
      </c>
      <c r="R2" s="5">
        <f t="shared" si="0"/>
        <v>0</v>
      </c>
      <c r="S2" s="5">
        <f t="shared" si="0"/>
        <v>0</v>
      </c>
    </row>
    <row r="3" spans="1:19" ht="22.5" customHeight="1" x14ac:dyDescent="0.3">
      <c r="A3" s="7" t="s">
        <v>182</v>
      </c>
      <c r="B3" s="8">
        <v>20</v>
      </c>
      <c r="C3" s="8">
        <v>2.5</v>
      </c>
      <c r="D3" s="8">
        <v>1.6</v>
      </c>
      <c r="E3" s="8">
        <v>1.4</v>
      </c>
      <c r="F3" s="8">
        <v>1</v>
      </c>
      <c r="G3" s="8">
        <v>0</v>
      </c>
      <c r="H3" s="8">
        <v>0.31</v>
      </c>
      <c r="I3" s="9">
        <v>105</v>
      </c>
      <c r="J3" s="10">
        <v>1</v>
      </c>
      <c r="L3" s="8">
        <f t="shared" ref="L3:L4" si="1">B3*$J3</f>
        <v>20</v>
      </c>
      <c r="M3" s="8">
        <f t="shared" si="0"/>
        <v>2.5</v>
      </c>
      <c r="N3" s="8">
        <f t="shared" si="0"/>
        <v>1.6</v>
      </c>
      <c r="O3" s="8">
        <f t="shared" si="0"/>
        <v>1.4</v>
      </c>
      <c r="P3" s="8">
        <f t="shared" si="0"/>
        <v>1</v>
      </c>
      <c r="Q3" s="8">
        <f t="shared" si="0"/>
        <v>0</v>
      </c>
      <c r="R3" s="8">
        <f t="shared" si="0"/>
        <v>0.31</v>
      </c>
      <c r="S3" s="9">
        <f t="shared" si="0"/>
        <v>105</v>
      </c>
    </row>
    <row r="4" spans="1:19" ht="25.2" customHeight="1" x14ac:dyDescent="0.3">
      <c r="A4" s="7" t="s">
        <v>181</v>
      </c>
      <c r="B4" s="8">
        <v>25</v>
      </c>
      <c r="C4" s="8">
        <v>2.2000000000000002</v>
      </c>
      <c r="D4" s="8">
        <v>1.2</v>
      </c>
      <c r="E4" s="8">
        <v>1</v>
      </c>
      <c r="F4" s="8">
        <v>0.3</v>
      </c>
      <c r="G4" s="8">
        <v>0</v>
      </c>
      <c r="H4" s="8">
        <v>0.37</v>
      </c>
      <c r="I4" s="9">
        <v>115</v>
      </c>
      <c r="J4" s="10"/>
      <c r="L4" s="8">
        <f t="shared" si="1"/>
        <v>0</v>
      </c>
      <c r="M4" s="8">
        <f t="shared" si="0"/>
        <v>0</v>
      </c>
      <c r="N4" s="8">
        <f t="shared" si="0"/>
        <v>0</v>
      </c>
      <c r="O4" s="8">
        <f t="shared" si="0"/>
        <v>0</v>
      </c>
      <c r="P4" s="8">
        <f t="shared" si="0"/>
        <v>0</v>
      </c>
      <c r="Q4" s="8">
        <f t="shared" si="0"/>
        <v>0</v>
      </c>
      <c r="R4" s="8">
        <f t="shared" si="0"/>
        <v>0</v>
      </c>
      <c r="S4" s="9">
        <f t="shared" si="0"/>
        <v>0</v>
      </c>
    </row>
    <row r="5" spans="1:19" x14ac:dyDescent="0.3">
      <c r="A5" s="4" t="s">
        <v>187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/>
      <c r="K5" s="6"/>
      <c r="L5" s="5">
        <f>B5*$J5</f>
        <v>0</v>
      </c>
      <c r="M5" s="5">
        <f t="shared" si="0"/>
        <v>0</v>
      </c>
      <c r="N5" s="5">
        <f t="shared" si="0"/>
        <v>0</v>
      </c>
      <c r="O5" s="5">
        <f t="shared" si="0"/>
        <v>0</v>
      </c>
      <c r="P5" s="5">
        <f t="shared" si="0"/>
        <v>0</v>
      </c>
      <c r="Q5" s="5">
        <f t="shared" si="0"/>
        <v>0</v>
      </c>
      <c r="R5" s="5">
        <f t="shared" si="0"/>
        <v>0</v>
      </c>
      <c r="S5" s="5">
        <f t="shared" si="0"/>
        <v>0</v>
      </c>
    </row>
    <row r="6" spans="1:19" x14ac:dyDescent="0.3">
      <c r="A6" s="7" t="s">
        <v>11</v>
      </c>
      <c r="B6" s="8">
        <v>0</v>
      </c>
      <c r="C6" s="8">
        <v>0</v>
      </c>
      <c r="D6" s="8">
        <v>0</v>
      </c>
      <c r="E6" s="8">
        <v>15</v>
      </c>
      <c r="F6" s="8">
        <v>2</v>
      </c>
      <c r="G6" s="8">
        <v>0</v>
      </c>
      <c r="H6" s="8">
        <v>0</v>
      </c>
      <c r="I6" s="9">
        <v>125</v>
      </c>
      <c r="L6" s="8">
        <f t="shared" ref="L6:S15" si="2">B6*$J6</f>
        <v>0</v>
      </c>
      <c r="M6" s="8">
        <f t="shared" si="2"/>
        <v>0</v>
      </c>
      <c r="N6" s="8">
        <f t="shared" si="2"/>
        <v>0</v>
      </c>
      <c r="O6" s="8">
        <f t="shared" si="2"/>
        <v>0</v>
      </c>
      <c r="P6" s="8">
        <f t="shared" si="2"/>
        <v>0</v>
      </c>
      <c r="Q6" s="8">
        <f t="shared" si="2"/>
        <v>0</v>
      </c>
      <c r="R6" s="8">
        <f t="shared" si="2"/>
        <v>0</v>
      </c>
      <c r="S6" s="9">
        <f t="shared" si="2"/>
        <v>0</v>
      </c>
    </row>
    <row r="7" spans="1:19" x14ac:dyDescent="0.3">
      <c r="A7" s="7" t="s">
        <v>105</v>
      </c>
      <c r="B7" s="8">
        <v>0.5</v>
      </c>
      <c r="C7" s="8">
        <v>0.1</v>
      </c>
      <c r="D7" s="8">
        <v>0</v>
      </c>
      <c r="E7" s="8">
        <v>13</v>
      </c>
      <c r="F7" s="8">
        <v>2.2000000000000002</v>
      </c>
      <c r="G7" s="8">
        <v>3</v>
      </c>
      <c r="H7" s="8">
        <v>2.5</v>
      </c>
      <c r="I7" s="9">
        <v>129</v>
      </c>
      <c r="J7" s="10"/>
      <c r="L7" s="8">
        <f t="shared" si="2"/>
        <v>0</v>
      </c>
      <c r="M7" s="8">
        <f t="shared" si="2"/>
        <v>0</v>
      </c>
      <c r="N7" s="8">
        <f t="shared" si="2"/>
        <v>0</v>
      </c>
      <c r="O7" s="8">
        <f t="shared" si="2"/>
        <v>0</v>
      </c>
      <c r="P7" s="8">
        <f t="shared" si="2"/>
        <v>0</v>
      </c>
      <c r="Q7" s="8">
        <f t="shared" si="2"/>
        <v>0</v>
      </c>
      <c r="R7" s="8">
        <f t="shared" si="2"/>
        <v>0</v>
      </c>
      <c r="S7" s="9">
        <f t="shared" si="2"/>
        <v>0</v>
      </c>
    </row>
    <row r="8" spans="1:19" x14ac:dyDescent="0.3">
      <c r="A8" s="30" t="s">
        <v>27</v>
      </c>
      <c r="B8" s="8">
        <v>1.5</v>
      </c>
      <c r="C8" s="8">
        <v>6.5</v>
      </c>
      <c r="D8" s="8">
        <v>0</v>
      </c>
      <c r="E8" s="8">
        <v>11.3</v>
      </c>
      <c r="F8" s="8">
        <v>1.6</v>
      </c>
      <c r="G8" s="8">
        <v>5</v>
      </c>
      <c r="H8" s="8">
        <v>1E-3</v>
      </c>
      <c r="I8" s="9">
        <v>120</v>
      </c>
      <c r="J8" s="10">
        <v>1</v>
      </c>
      <c r="L8" s="8">
        <f>B8*$J8</f>
        <v>1.5</v>
      </c>
      <c r="M8" s="8">
        <f t="shared" si="2"/>
        <v>6.5</v>
      </c>
      <c r="N8" s="8">
        <f t="shared" si="2"/>
        <v>0</v>
      </c>
      <c r="O8" s="8">
        <f t="shared" si="2"/>
        <v>11.3</v>
      </c>
      <c r="P8" s="8">
        <f t="shared" si="2"/>
        <v>1.6</v>
      </c>
      <c r="Q8" s="8">
        <f t="shared" si="2"/>
        <v>5</v>
      </c>
      <c r="R8" s="8">
        <f t="shared" si="2"/>
        <v>1E-3</v>
      </c>
      <c r="S8" s="9">
        <f t="shared" si="2"/>
        <v>120</v>
      </c>
    </row>
    <row r="9" spans="1:19" x14ac:dyDescent="0.3">
      <c r="A9" s="7" t="s">
        <v>156</v>
      </c>
      <c r="B9" s="8">
        <v>2.4</v>
      </c>
      <c r="C9" s="8">
        <v>3.64</v>
      </c>
      <c r="D9" s="8">
        <v>0</v>
      </c>
      <c r="E9" s="8">
        <v>18.72</v>
      </c>
      <c r="F9" s="8">
        <v>2.6</v>
      </c>
      <c r="G9" s="8">
        <v>2.5</v>
      </c>
      <c r="H9" s="8">
        <v>0.01</v>
      </c>
      <c r="I9" s="9">
        <v>197.6</v>
      </c>
      <c r="J9" s="10">
        <v>0.5</v>
      </c>
      <c r="L9" s="8">
        <f>B9*$J9</f>
        <v>1.2</v>
      </c>
      <c r="M9" s="8">
        <f t="shared" si="2"/>
        <v>1.82</v>
      </c>
      <c r="N9" s="8">
        <f t="shared" si="2"/>
        <v>0</v>
      </c>
      <c r="O9" s="8">
        <f t="shared" si="2"/>
        <v>9.36</v>
      </c>
      <c r="P9" s="8">
        <f t="shared" si="2"/>
        <v>1.3</v>
      </c>
      <c r="Q9" s="8">
        <f t="shared" si="2"/>
        <v>1.25</v>
      </c>
      <c r="R9" s="8">
        <f t="shared" si="2"/>
        <v>5.0000000000000001E-3</v>
      </c>
      <c r="S9" s="9">
        <f t="shared" si="2"/>
        <v>98.8</v>
      </c>
    </row>
    <row r="10" spans="1:19" ht="13.8" customHeight="1" x14ac:dyDescent="0.3">
      <c r="A10" s="7" t="s">
        <v>45</v>
      </c>
      <c r="B10" s="8">
        <v>4.3600000000000003</v>
      </c>
      <c r="C10" s="8">
        <v>2.74</v>
      </c>
      <c r="D10" s="8">
        <v>0.55000000000000004</v>
      </c>
      <c r="E10" s="8">
        <v>16.260000000000002</v>
      </c>
      <c r="F10" s="8">
        <v>1.44</v>
      </c>
      <c r="G10" s="8">
        <v>1.33</v>
      </c>
      <c r="H10" s="8">
        <v>5.0000000000000001E-3</v>
      </c>
      <c r="I10" s="9">
        <v>177.5</v>
      </c>
      <c r="J10" s="10"/>
      <c r="L10" s="8">
        <f t="shared" ref="L10:S12" si="3">B10*$J10</f>
        <v>0</v>
      </c>
      <c r="M10" s="8">
        <f t="shared" si="3"/>
        <v>0</v>
      </c>
      <c r="N10" s="8">
        <f t="shared" si="3"/>
        <v>0</v>
      </c>
      <c r="O10" s="8">
        <f t="shared" si="3"/>
        <v>0</v>
      </c>
      <c r="P10" s="8">
        <f t="shared" si="3"/>
        <v>0</v>
      </c>
      <c r="Q10" s="8">
        <f t="shared" si="3"/>
        <v>0</v>
      </c>
      <c r="R10" s="8">
        <f t="shared" si="3"/>
        <v>0</v>
      </c>
      <c r="S10" s="9">
        <f t="shared" si="3"/>
        <v>0</v>
      </c>
    </row>
    <row r="11" spans="1:19" ht="26.4" customHeight="1" x14ac:dyDescent="0.3">
      <c r="A11" s="7" t="s">
        <v>46</v>
      </c>
      <c r="B11" s="8">
        <v>5.6</v>
      </c>
      <c r="C11" s="8">
        <v>2.7</v>
      </c>
      <c r="D11" s="8">
        <v>1.2</v>
      </c>
      <c r="E11" s="8">
        <v>17</v>
      </c>
      <c r="F11" s="8">
        <v>1.8</v>
      </c>
      <c r="G11" s="8">
        <v>2.1</v>
      </c>
      <c r="H11" s="8">
        <v>0</v>
      </c>
      <c r="I11" s="9">
        <v>193</v>
      </c>
      <c r="J11" s="10">
        <v>0.6</v>
      </c>
      <c r="L11" s="8">
        <f t="shared" si="3"/>
        <v>3.36</v>
      </c>
      <c r="M11" s="8">
        <f t="shared" si="3"/>
        <v>1.62</v>
      </c>
      <c r="N11" s="8">
        <f t="shared" si="3"/>
        <v>0.72</v>
      </c>
      <c r="O11" s="8">
        <f t="shared" si="3"/>
        <v>10.199999999999999</v>
      </c>
      <c r="P11" s="8">
        <f t="shared" si="3"/>
        <v>1.08</v>
      </c>
      <c r="Q11" s="8">
        <f t="shared" si="3"/>
        <v>1.26</v>
      </c>
      <c r="R11" s="8">
        <f t="shared" si="3"/>
        <v>0</v>
      </c>
      <c r="S11" s="9">
        <f t="shared" si="3"/>
        <v>115.8</v>
      </c>
    </row>
    <row r="12" spans="1:19" ht="26.4" customHeight="1" x14ac:dyDescent="0.3">
      <c r="A12" s="24" t="s">
        <v>188</v>
      </c>
      <c r="B12" s="8"/>
      <c r="C12" s="8"/>
      <c r="D12" s="8"/>
      <c r="E12" s="8"/>
      <c r="F12" s="8"/>
      <c r="G12" s="8"/>
      <c r="H12" s="8"/>
      <c r="I12" s="9"/>
      <c r="J12" s="10"/>
      <c r="L12" s="8">
        <f t="shared" si="3"/>
        <v>0</v>
      </c>
      <c r="M12" s="8">
        <f t="shared" si="3"/>
        <v>0</v>
      </c>
      <c r="N12" s="8">
        <f t="shared" si="3"/>
        <v>0</v>
      </c>
      <c r="O12" s="8">
        <f t="shared" si="3"/>
        <v>0</v>
      </c>
      <c r="P12" s="8">
        <f t="shared" si="3"/>
        <v>0</v>
      </c>
      <c r="Q12" s="8">
        <f t="shared" si="3"/>
        <v>0</v>
      </c>
      <c r="R12" s="8">
        <f t="shared" si="3"/>
        <v>0</v>
      </c>
      <c r="S12" s="9">
        <f t="shared" si="3"/>
        <v>0</v>
      </c>
    </row>
    <row r="13" spans="1:19" x14ac:dyDescent="0.3">
      <c r="A13" s="24" t="s">
        <v>189</v>
      </c>
      <c r="B13" s="8"/>
      <c r="C13" s="8"/>
      <c r="D13" s="8"/>
      <c r="E13" s="8"/>
      <c r="F13" s="8"/>
      <c r="G13" s="8"/>
      <c r="H13" s="8"/>
      <c r="I13" s="9"/>
      <c r="J13" s="10"/>
      <c r="L13" s="8">
        <f>B13*$J13</f>
        <v>0</v>
      </c>
      <c r="M13" s="8">
        <f t="shared" si="2"/>
        <v>0</v>
      </c>
      <c r="N13" s="8">
        <f t="shared" si="2"/>
        <v>0</v>
      </c>
      <c r="O13" s="8">
        <f t="shared" si="2"/>
        <v>0</v>
      </c>
      <c r="P13" s="8">
        <f t="shared" si="2"/>
        <v>0</v>
      </c>
      <c r="Q13" s="8">
        <f t="shared" si="2"/>
        <v>0</v>
      </c>
      <c r="R13" s="8">
        <f t="shared" si="2"/>
        <v>0</v>
      </c>
      <c r="S13" s="9">
        <f t="shared" si="2"/>
        <v>0</v>
      </c>
    </row>
    <row r="14" spans="1:19" x14ac:dyDescent="0.3">
      <c r="A14" s="4" t="s">
        <v>190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/>
      <c r="K14" s="6"/>
      <c r="L14" s="5">
        <f>B14*$J14</f>
        <v>0</v>
      </c>
      <c r="M14" s="5">
        <f t="shared" si="2"/>
        <v>0</v>
      </c>
      <c r="N14" s="5">
        <f t="shared" si="2"/>
        <v>0</v>
      </c>
      <c r="O14" s="5">
        <f t="shared" si="2"/>
        <v>0</v>
      </c>
      <c r="P14" s="5">
        <f t="shared" si="2"/>
        <v>0</v>
      </c>
      <c r="Q14" s="5">
        <f t="shared" si="2"/>
        <v>0</v>
      </c>
      <c r="R14" s="5">
        <f t="shared" si="2"/>
        <v>0</v>
      </c>
      <c r="S14" s="5">
        <f t="shared" si="2"/>
        <v>0</v>
      </c>
    </row>
    <row r="15" spans="1:19" x14ac:dyDescent="0.3">
      <c r="A15" s="7" t="s">
        <v>13</v>
      </c>
      <c r="B15" s="8">
        <v>0.8</v>
      </c>
      <c r="C15" s="8">
        <v>4</v>
      </c>
      <c r="D15" s="8">
        <v>1</v>
      </c>
      <c r="E15" s="8">
        <v>1</v>
      </c>
      <c r="F15" s="8">
        <v>0.1</v>
      </c>
      <c r="G15" s="8">
        <v>1</v>
      </c>
      <c r="H15" s="8">
        <v>0.4</v>
      </c>
      <c r="I15" s="9">
        <v>27</v>
      </c>
      <c r="J15" s="10"/>
      <c r="L15" s="8">
        <f>B15*$J15</f>
        <v>0</v>
      </c>
      <c r="M15" s="8">
        <f t="shared" si="2"/>
        <v>0</v>
      </c>
      <c r="N15" s="8">
        <f t="shared" si="2"/>
        <v>0</v>
      </c>
      <c r="O15" s="8">
        <f t="shared" si="2"/>
        <v>0</v>
      </c>
      <c r="P15" s="8">
        <f t="shared" si="2"/>
        <v>0</v>
      </c>
      <c r="Q15" s="8">
        <f t="shared" si="2"/>
        <v>0</v>
      </c>
      <c r="R15" s="8">
        <f t="shared" si="2"/>
        <v>0</v>
      </c>
      <c r="S15" s="9">
        <f t="shared" si="2"/>
        <v>0</v>
      </c>
    </row>
    <row r="16" spans="1:19" x14ac:dyDescent="0.3">
      <c r="A16" s="7" t="s">
        <v>26</v>
      </c>
      <c r="B16" s="8">
        <v>0.8</v>
      </c>
      <c r="C16" s="8">
        <v>3.9</v>
      </c>
      <c r="D16" s="8">
        <v>1.6</v>
      </c>
      <c r="E16" s="8">
        <v>0.7</v>
      </c>
      <c r="F16" s="8">
        <v>0.1</v>
      </c>
      <c r="G16" s="8">
        <v>1.1000000000000001</v>
      </c>
      <c r="H16" s="8">
        <v>0.39</v>
      </c>
      <c r="I16" s="9">
        <v>27</v>
      </c>
      <c r="J16" s="10"/>
      <c r="L16" s="8">
        <f t="shared" ref="L16:S19" si="4">B16*$J16</f>
        <v>0</v>
      </c>
      <c r="M16" s="8">
        <f t="shared" si="4"/>
        <v>0</v>
      </c>
      <c r="N16" s="8">
        <f t="shared" si="4"/>
        <v>0</v>
      </c>
      <c r="O16" s="8">
        <f t="shared" si="4"/>
        <v>0</v>
      </c>
      <c r="P16" s="8">
        <f t="shared" si="4"/>
        <v>0</v>
      </c>
      <c r="Q16" s="8">
        <f t="shared" si="4"/>
        <v>0</v>
      </c>
      <c r="R16" s="8">
        <f t="shared" si="4"/>
        <v>0</v>
      </c>
      <c r="S16" s="9">
        <f t="shared" si="4"/>
        <v>0</v>
      </c>
    </row>
    <row r="17" spans="1:19" x14ac:dyDescent="0.3">
      <c r="A17" s="7" t="s">
        <v>28</v>
      </c>
      <c r="B17" s="8">
        <v>0.67</v>
      </c>
      <c r="C17" s="8">
        <v>0.34</v>
      </c>
      <c r="D17" s="8">
        <v>0</v>
      </c>
      <c r="E17" s="8">
        <v>0.18</v>
      </c>
      <c r="F17" s="8">
        <v>0</v>
      </c>
      <c r="G17" s="8">
        <v>0.52</v>
      </c>
      <c r="H17" s="8">
        <v>0.01</v>
      </c>
      <c r="I17" s="9">
        <v>5.6</v>
      </c>
      <c r="J17" s="10">
        <v>2</v>
      </c>
      <c r="L17" s="8">
        <f>B17*$J17</f>
        <v>1.34</v>
      </c>
      <c r="M17" s="8">
        <f t="shared" si="4"/>
        <v>0.68</v>
      </c>
      <c r="N17" s="8">
        <f t="shared" si="4"/>
        <v>0</v>
      </c>
      <c r="O17" s="8">
        <f t="shared" si="4"/>
        <v>0.36</v>
      </c>
      <c r="P17" s="8">
        <f t="shared" si="4"/>
        <v>0</v>
      </c>
      <c r="Q17" s="8">
        <f t="shared" si="4"/>
        <v>1.04</v>
      </c>
      <c r="R17" s="8">
        <f t="shared" si="4"/>
        <v>0.02</v>
      </c>
      <c r="S17" s="9">
        <f t="shared" si="4"/>
        <v>11.2</v>
      </c>
    </row>
    <row r="18" spans="1:19" x14ac:dyDescent="0.3">
      <c r="A18" s="7" t="s">
        <v>15</v>
      </c>
      <c r="B18" s="8">
        <v>0.36</v>
      </c>
      <c r="C18" s="8">
        <v>7.0000000000000007E-2</v>
      </c>
      <c r="D18" s="8">
        <v>0</v>
      </c>
      <c r="E18" s="8">
        <v>0.08</v>
      </c>
      <c r="F18" s="8">
        <v>0</v>
      </c>
      <c r="G18" s="8">
        <v>0.21</v>
      </c>
      <c r="H18" s="8">
        <v>1.2999999999999999E-2</v>
      </c>
      <c r="I18" s="9">
        <v>11.8</v>
      </c>
      <c r="J18" s="10">
        <v>2</v>
      </c>
      <c r="L18" s="8">
        <f t="shared" si="4"/>
        <v>0.72</v>
      </c>
      <c r="M18" s="8">
        <f t="shared" si="4"/>
        <v>0.14000000000000001</v>
      </c>
      <c r="N18" s="8">
        <f t="shared" si="4"/>
        <v>0</v>
      </c>
      <c r="O18" s="8">
        <f t="shared" si="4"/>
        <v>0.16</v>
      </c>
      <c r="P18" s="8">
        <f t="shared" si="4"/>
        <v>0</v>
      </c>
      <c r="Q18" s="8">
        <f t="shared" si="4"/>
        <v>0.42</v>
      </c>
      <c r="R18" s="8">
        <f t="shared" si="4"/>
        <v>2.5999999999999999E-2</v>
      </c>
      <c r="S18" s="9">
        <f t="shared" si="4"/>
        <v>23.6</v>
      </c>
    </row>
    <row r="19" spans="1:19" ht="24" x14ac:dyDescent="0.3">
      <c r="A19" s="7" t="s">
        <v>14</v>
      </c>
      <c r="B19" s="8">
        <v>0.75</v>
      </c>
      <c r="C19" s="8">
        <v>3.25</v>
      </c>
      <c r="D19" s="8">
        <v>0</v>
      </c>
      <c r="E19" s="8">
        <v>0.2</v>
      </c>
      <c r="F19" s="8">
        <v>0</v>
      </c>
      <c r="G19" s="8">
        <v>1</v>
      </c>
      <c r="H19" s="8">
        <v>0.01</v>
      </c>
      <c r="I19" s="9">
        <v>15</v>
      </c>
      <c r="J19" s="10">
        <v>2</v>
      </c>
      <c r="L19" s="8">
        <f>B19*$J19</f>
        <v>1.5</v>
      </c>
      <c r="M19" s="8">
        <f t="shared" si="4"/>
        <v>6.5</v>
      </c>
      <c r="N19" s="8">
        <f t="shared" si="4"/>
        <v>0</v>
      </c>
      <c r="O19" s="8">
        <f t="shared" si="4"/>
        <v>0.4</v>
      </c>
      <c r="P19" s="8">
        <f t="shared" si="4"/>
        <v>0</v>
      </c>
      <c r="Q19" s="8">
        <f t="shared" si="4"/>
        <v>2</v>
      </c>
      <c r="R19" s="8">
        <f t="shared" si="4"/>
        <v>0.02</v>
      </c>
      <c r="S19" s="9">
        <f t="shared" si="4"/>
        <v>30</v>
      </c>
    </row>
    <row r="20" spans="1:19" x14ac:dyDescent="0.3">
      <c r="A20" s="7" t="s">
        <v>29</v>
      </c>
      <c r="B20" s="8">
        <v>2</v>
      </c>
      <c r="C20" s="8">
        <v>3</v>
      </c>
      <c r="D20" s="8">
        <v>0</v>
      </c>
      <c r="E20" s="8">
        <v>0</v>
      </c>
      <c r="F20" s="8">
        <v>0</v>
      </c>
      <c r="G20" s="8">
        <v>3.3</v>
      </c>
      <c r="H20" s="8">
        <v>0</v>
      </c>
      <c r="I20" s="9">
        <v>30</v>
      </c>
      <c r="J20" s="10"/>
      <c r="L20" s="8">
        <f t="shared" ref="L20:S35" si="5">B20*$J20</f>
        <v>0</v>
      </c>
      <c r="M20" s="8">
        <f t="shared" si="0"/>
        <v>0</v>
      </c>
      <c r="N20" s="8">
        <f t="shared" si="0"/>
        <v>0</v>
      </c>
      <c r="O20" s="8">
        <f t="shared" si="0"/>
        <v>0</v>
      </c>
      <c r="P20" s="8">
        <f t="shared" si="0"/>
        <v>0</v>
      </c>
      <c r="Q20" s="8">
        <f t="shared" si="0"/>
        <v>0</v>
      </c>
      <c r="R20" s="8">
        <f t="shared" si="0"/>
        <v>0</v>
      </c>
      <c r="S20" s="9">
        <f t="shared" si="0"/>
        <v>0</v>
      </c>
    </row>
    <row r="21" spans="1:19" x14ac:dyDescent="0.3">
      <c r="A21" s="7" t="s">
        <v>30</v>
      </c>
      <c r="B21" s="8">
        <v>1.3</v>
      </c>
      <c r="C21" s="8">
        <v>7</v>
      </c>
      <c r="D21" s="8">
        <v>0</v>
      </c>
      <c r="E21" s="8">
        <v>0.5</v>
      </c>
      <c r="F21" s="8">
        <v>0.5</v>
      </c>
      <c r="G21" s="8">
        <v>0</v>
      </c>
      <c r="H21" s="8">
        <v>0.34</v>
      </c>
      <c r="I21" s="9">
        <v>41</v>
      </c>
      <c r="J21" s="10"/>
      <c r="L21" s="8">
        <f t="shared" si="5"/>
        <v>0</v>
      </c>
      <c r="M21" s="8">
        <f t="shared" si="0"/>
        <v>0</v>
      </c>
      <c r="N21" s="8">
        <f t="shared" si="0"/>
        <v>0</v>
      </c>
      <c r="O21" s="8">
        <f t="shared" si="0"/>
        <v>0</v>
      </c>
      <c r="P21" s="8">
        <f t="shared" si="0"/>
        <v>0</v>
      </c>
      <c r="Q21" s="8">
        <f t="shared" si="0"/>
        <v>0</v>
      </c>
      <c r="R21" s="8">
        <f t="shared" si="0"/>
        <v>0</v>
      </c>
      <c r="S21" s="9">
        <f t="shared" si="0"/>
        <v>0</v>
      </c>
    </row>
    <row r="22" spans="1:19" x14ac:dyDescent="0.3">
      <c r="A22" s="4" t="s">
        <v>191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/>
      <c r="K22" s="6"/>
      <c r="L22" s="5">
        <f>B22*$J22</f>
        <v>0</v>
      </c>
      <c r="M22" s="5">
        <f t="shared" ref="M22:S24" si="6">C22*$J22</f>
        <v>0</v>
      </c>
      <c r="N22" s="5">
        <f t="shared" si="6"/>
        <v>0</v>
      </c>
      <c r="O22" s="5">
        <f t="shared" si="6"/>
        <v>0</v>
      </c>
      <c r="P22" s="5">
        <f t="shared" si="6"/>
        <v>0</v>
      </c>
      <c r="Q22" s="5">
        <f t="shared" si="6"/>
        <v>0</v>
      </c>
      <c r="R22" s="5">
        <f t="shared" si="6"/>
        <v>0</v>
      </c>
      <c r="S22" s="5">
        <f t="shared" si="6"/>
        <v>0</v>
      </c>
    </row>
    <row r="23" spans="1:19" ht="24" x14ac:dyDescent="0.3">
      <c r="A23" s="11" t="s">
        <v>18</v>
      </c>
      <c r="B23" s="8">
        <v>1.6</v>
      </c>
      <c r="C23" s="8">
        <v>6.2</v>
      </c>
      <c r="D23" s="8">
        <v>0</v>
      </c>
      <c r="E23" s="8">
        <v>3.1</v>
      </c>
      <c r="F23" s="8">
        <v>0.3</v>
      </c>
      <c r="G23" s="8">
        <v>3.7</v>
      </c>
      <c r="H23" s="8">
        <v>5.0000000000000001E-3</v>
      </c>
      <c r="I23" s="9">
        <v>44</v>
      </c>
      <c r="J23" s="10"/>
      <c r="L23" s="8">
        <f>B23*$J23</f>
        <v>0</v>
      </c>
      <c r="M23" s="8">
        <f t="shared" si="6"/>
        <v>0</v>
      </c>
      <c r="N23" s="8">
        <f t="shared" si="6"/>
        <v>0</v>
      </c>
      <c r="O23" s="8">
        <f t="shared" si="6"/>
        <v>0</v>
      </c>
      <c r="P23" s="8">
        <f t="shared" si="6"/>
        <v>0</v>
      </c>
      <c r="Q23" s="8">
        <f t="shared" si="6"/>
        <v>0</v>
      </c>
      <c r="R23" s="8">
        <f t="shared" si="6"/>
        <v>0</v>
      </c>
      <c r="S23" s="9">
        <f t="shared" si="6"/>
        <v>0</v>
      </c>
    </row>
    <row r="24" spans="1:19" ht="24" x14ac:dyDescent="0.3">
      <c r="A24" s="7" t="s">
        <v>19</v>
      </c>
      <c r="B24" s="8">
        <v>2.0699999999999998</v>
      </c>
      <c r="C24" s="8">
        <v>4.74</v>
      </c>
      <c r="D24" s="8">
        <v>0.08</v>
      </c>
      <c r="E24" s="8">
        <v>0.96</v>
      </c>
      <c r="F24" s="8">
        <v>0.15</v>
      </c>
      <c r="G24" s="8">
        <v>0.96</v>
      </c>
      <c r="H24" s="8">
        <v>0.05</v>
      </c>
      <c r="I24" s="9">
        <v>37.799999999999997</v>
      </c>
      <c r="J24" s="10"/>
      <c r="L24" s="8">
        <f t="shared" si="5"/>
        <v>0</v>
      </c>
      <c r="M24" s="8">
        <f t="shared" si="6"/>
        <v>0</v>
      </c>
      <c r="N24" s="8">
        <f t="shared" si="6"/>
        <v>0</v>
      </c>
      <c r="O24" s="8">
        <f t="shared" si="6"/>
        <v>0</v>
      </c>
      <c r="P24" s="8">
        <f t="shared" si="6"/>
        <v>0</v>
      </c>
      <c r="Q24" s="8">
        <f t="shared" si="6"/>
        <v>0</v>
      </c>
      <c r="R24" s="8">
        <f t="shared" si="6"/>
        <v>0</v>
      </c>
      <c r="S24" s="9">
        <f t="shared" si="6"/>
        <v>0</v>
      </c>
    </row>
    <row r="25" spans="1:19" x14ac:dyDescent="0.3">
      <c r="A25" s="7" t="s">
        <v>20</v>
      </c>
      <c r="B25" s="8">
        <v>1.1000000000000001</v>
      </c>
      <c r="C25" s="8">
        <v>15</v>
      </c>
      <c r="D25" s="8">
        <v>0</v>
      </c>
      <c r="E25" s="8">
        <v>0.5</v>
      </c>
      <c r="F25" s="8">
        <v>0</v>
      </c>
      <c r="G25" s="8">
        <v>3</v>
      </c>
      <c r="H25" s="8">
        <v>3.0000000000000001E-3</v>
      </c>
      <c r="I25" s="9">
        <v>61</v>
      </c>
      <c r="J25" s="10"/>
      <c r="L25" s="8">
        <f t="shared" si="5"/>
        <v>0</v>
      </c>
      <c r="M25" s="8">
        <f t="shared" si="5"/>
        <v>0</v>
      </c>
      <c r="N25" s="8">
        <f t="shared" si="5"/>
        <v>0</v>
      </c>
      <c r="O25" s="8">
        <f t="shared" si="5"/>
        <v>0</v>
      </c>
      <c r="P25" s="8">
        <f t="shared" si="5"/>
        <v>0</v>
      </c>
      <c r="Q25" s="8">
        <f t="shared" si="5"/>
        <v>0</v>
      </c>
      <c r="R25" s="8">
        <f t="shared" si="5"/>
        <v>0</v>
      </c>
      <c r="S25" s="9">
        <f t="shared" si="5"/>
        <v>0</v>
      </c>
    </row>
    <row r="26" spans="1:19" ht="24" x14ac:dyDescent="0.3">
      <c r="A26" s="7" t="s">
        <v>23</v>
      </c>
      <c r="B26" s="8">
        <v>1.9</v>
      </c>
      <c r="C26" s="8">
        <v>1.3</v>
      </c>
      <c r="D26" s="8">
        <v>0.95</v>
      </c>
      <c r="E26" s="8">
        <v>3.1</v>
      </c>
      <c r="F26" s="8">
        <v>0.03</v>
      </c>
      <c r="G26" s="8">
        <v>3.5</v>
      </c>
      <c r="H26" s="8">
        <v>1E-3</v>
      </c>
      <c r="I26" s="9">
        <v>47.7</v>
      </c>
      <c r="J26" s="10">
        <v>1</v>
      </c>
      <c r="L26" s="8">
        <f t="shared" si="5"/>
        <v>1.9</v>
      </c>
      <c r="M26" s="8">
        <f t="shared" si="5"/>
        <v>1.3</v>
      </c>
      <c r="N26" s="8">
        <f t="shared" si="5"/>
        <v>0.95</v>
      </c>
      <c r="O26" s="8">
        <f t="shared" si="5"/>
        <v>3.1</v>
      </c>
      <c r="P26" s="8">
        <f t="shared" si="5"/>
        <v>0.03</v>
      </c>
      <c r="Q26" s="8">
        <f t="shared" si="5"/>
        <v>3.5</v>
      </c>
      <c r="R26" s="8">
        <f t="shared" si="5"/>
        <v>1E-3</v>
      </c>
      <c r="S26" s="9">
        <f t="shared" si="5"/>
        <v>47.7</v>
      </c>
    </row>
    <row r="27" spans="1:19" ht="24" x14ac:dyDescent="0.3">
      <c r="A27" s="7" t="s">
        <v>47</v>
      </c>
      <c r="B27" s="8">
        <v>3.5</v>
      </c>
      <c r="C27" s="8">
        <v>2.2000000000000002</v>
      </c>
      <c r="D27" s="8">
        <v>0</v>
      </c>
      <c r="E27" s="8">
        <v>4.5</v>
      </c>
      <c r="F27" s="8">
        <v>0.88</v>
      </c>
      <c r="G27" s="8">
        <v>0.79</v>
      </c>
      <c r="H27" s="8">
        <v>3.0000000000000001E-3</v>
      </c>
      <c r="I27" s="9">
        <v>56.9</v>
      </c>
      <c r="J27" s="10">
        <v>1</v>
      </c>
      <c r="L27" s="8">
        <f t="shared" si="5"/>
        <v>3.5</v>
      </c>
      <c r="M27" s="8">
        <f t="shared" si="5"/>
        <v>2.2000000000000002</v>
      </c>
      <c r="N27" s="8">
        <f t="shared" si="5"/>
        <v>0</v>
      </c>
      <c r="O27" s="8">
        <f t="shared" si="5"/>
        <v>4.5</v>
      </c>
      <c r="P27" s="8">
        <f t="shared" si="5"/>
        <v>0.88</v>
      </c>
      <c r="Q27" s="8">
        <f t="shared" si="5"/>
        <v>0.79</v>
      </c>
      <c r="R27" s="8">
        <f t="shared" si="5"/>
        <v>3.0000000000000001E-3</v>
      </c>
      <c r="S27" s="9">
        <f t="shared" si="5"/>
        <v>56.9</v>
      </c>
    </row>
    <row r="28" spans="1:19" ht="24" x14ac:dyDescent="0.3">
      <c r="A28" s="7" t="s">
        <v>48</v>
      </c>
      <c r="B28" s="8">
        <v>3.3</v>
      </c>
      <c r="C28" s="8">
        <v>0.36</v>
      </c>
      <c r="D28" s="8">
        <v>0</v>
      </c>
      <c r="E28" s="8">
        <v>0.48</v>
      </c>
      <c r="F28" s="8">
        <v>0.52</v>
      </c>
      <c r="G28" s="8">
        <v>0.6</v>
      </c>
      <c r="H28" s="8">
        <v>7.0000000000000001E-3</v>
      </c>
      <c r="I28" s="9">
        <v>59</v>
      </c>
      <c r="J28" s="10">
        <v>1</v>
      </c>
      <c r="L28" s="8">
        <f t="shared" si="5"/>
        <v>3.3</v>
      </c>
      <c r="M28" s="8">
        <f t="shared" si="5"/>
        <v>0.36</v>
      </c>
      <c r="N28" s="8">
        <f t="shared" si="5"/>
        <v>0</v>
      </c>
      <c r="O28" s="8">
        <f t="shared" si="5"/>
        <v>0.48</v>
      </c>
      <c r="P28" s="8">
        <f t="shared" si="5"/>
        <v>0.52</v>
      </c>
      <c r="Q28" s="8">
        <f t="shared" si="5"/>
        <v>0.6</v>
      </c>
      <c r="R28" s="8">
        <f t="shared" si="5"/>
        <v>7.0000000000000001E-3</v>
      </c>
      <c r="S28" s="9">
        <f t="shared" si="5"/>
        <v>59</v>
      </c>
    </row>
    <row r="29" spans="1:19" ht="24" x14ac:dyDescent="0.3">
      <c r="A29" s="7" t="s">
        <v>49</v>
      </c>
      <c r="B29" s="8">
        <v>2.2799999999999998</v>
      </c>
      <c r="C29" s="8">
        <v>1.88</v>
      </c>
      <c r="D29" s="8">
        <v>0</v>
      </c>
      <c r="E29" s="8">
        <v>4.96</v>
      </c>
      <c r="F29" s="8">
        <v>0.52</v>
      </c>
      <c r="G29" s="8">
        <v>1.05</v>
      </c>
      <c r="H29" s="8">
        <v>3.0000000000000001E-3</v>
      </c>
      <c r="I29" s="9">
        <v>63.4</v>
      </c>
      <c r="J29" s="10">
        <v>1</v>
      </c>
      <c r="L29" s="8">
        <f t="shared" si="5"/>
        <v>2.2799999999999998</v>
      </c>
      <c r="M29" s="8">
        <f t="shared" si="5"/>
        <v>1.88</v>
      </c>
      <c r="N29" s="8">
        <f t="shared" si="5"/>
        <v>0</v>
      </c>
      <c r="O29" s="8">
        <f t="shared" si="5"/>
        <v>4.96</v>
      </c>
      <c r="P29" s="8">
        <f t="shared" si="5"/>
        <v>0.52</v>
      </c>
      <c r="Q29" s="8">
        <f t="shared" si="5"/>
        <v>1.05</v>
      </c>
      <c r="R29" s="8">
        <f t="shared" si="5"/>
        <v>3.0000000000000001E-3</v>
      </c>
      <c r="S29" s="9">
        <f t="shared" si="5"/>
        <v>63.4</v>
      </c>
    </row>
    <row r="30" spans="1:19" x14ac:dyDescent="0.3">
      <c r="A30" s="7"/>
      <c r="B30" s="8"/>
      <c r="C30" s="8"/>
      <c r="D30" s="8"/>
      <c r="E30" s="8"/>
      <c r="F30" s="8"/>
      <c r="G30" s="8"/>
      <c r="H30" s="8"/>
      <c r="I30" s="9"/>
      <c r="J30" s="10"/>
      <c r="L30" s="8">
        <f t="shared" si="5"/>
        <v>0</v>
      </c>
      <c r="M30" s="8">
        <f t="shared" si="5"/>
        <v>0</v>
      </c>
      <c r="N30" s="8">
        <f t="shared" si="5"/>
        <v>0</v>
      </c>
      <c r="O30" s="8">
        <f t="shared" si="5"/>
        <v>0</v>
      </c>
      <c r="P30" s="8">
        <f t="shared" si="5"/>
        <v>0</v>
      </c>
      <c r="Q30" s="8">
        <f t="shared" si="5"/>
        <v>0</v>
      </c>
      <c r="R30" s="8">
        <f t="shared" si="5"/>
        <v>0</v>
      </c>
      <c r="S30" s="9">
        <f t="shared" si="5"/>
        <v>0</v>
      </c>
    </row>
    <row r="31" spans="1:19" x14ac:dyDescent="0.3">
      <c r="A31" s="7"/>
      <c r="B31" s="8"/>
      <c r="C31" s="8"/>
      <c r="D31" s="8"/>
      <c r="E31" s="8"/>
      <c r="F31" s="8"/>
      <c r="G31" s="8"/>
      <c r="H31" s="8"/>
      <c r="I31" s="9"/>
      <c r="J31" s="10"/>
      <c r="L31" s="8">
        <f t="shared" si="5"/>
        <v>0</v>
      </c>
      <c r="M31" s="8">
        <f t="shared" si="5"/>
        <v>0</v>
      </c>
      <c r="N31" s="8">
        <f t="shared" si="5"/>
        <v>0</v>
      </c>
      <c r="O31" s="8">
        <f t="shared" si="5"/>
        <v>0</v>
      </c>
      <c r="P31" s="8">
        <f t="shared" si="5"/>
        <v>0</v>
      </c>
      <c r="Q31" s="8">
        <f t="shared" si="5"/>
        <v>0</v>
      </c>
      <c r="R31" s="8">
        <f t="shared" si="5"/>
        <v>0</v>
      </c>
      <c r="S31" s="9">
        <f t="shared" si="5"/>
        <v>0</v>
      </c>
    </row>
    <row r="32" spans="1:19" x14ac:dyDescent="0.3">
      <c r="A32" s="4" t="s">
        <v>185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/>
      <c r="K32" s="6"/>
      <c r="L32" s="5">
        <f>B32*$J32</f>
        <v>0</v>
      </c>
      <c r="M32" s="5">
        <f t="shared" si="5"/>
        <v>0</v>
      </c>
      <c r="N32" s="5">
        <f t="shared" si="5"/>
        <v>0</v>
      </c>
      <c r="O32" s="5">
        <f t="shared" si="5"/>
        <v>0</v>
      </c>
      <c r="P32" s="5">
        <f t="shared" si="5"/>
        <v>0</v>
      </c>
      <c r="Q32" s="5">
        <f t="shared" si="5"/>
        <v>0</v>
      </c>
      <c r="R32" s="5">
        <f t="shared" si="5"/>
        <v>0</v>
      </c>
      <c r="S32" s="5">
        <f t="shared" si="5"/>
        <v>0</v>
      </c>
    </row>
    <row r="33" spans="1:19" x14ac:dyDescent="0.3">
      <c r="A33" s="7" t="s">
        <v>21</v>
      </c>
      <c r="B33" s="8">
        <v>6.5</v>
      </c>
      <c r="C33" s="8">
        <v>0.6</v>
      </c>
      <c r="D33" s="8">
        <v>0.6</v>
      </c>
      <c r="E33" s="8">
        <v>5.9</v>
      </c>
      <c r="F33" s="8">
        <v>1.8</v>
      </c>
      <c r="G33" s="8">
        <v>0</v>
      </c>
      <c r="H33" s="8">
        <v>0.1</v>
      </c>
      <c r="I33" s="9">
        <v>84</v>
      </c>
      <c r="J33" s="10"/>
      <c r="L33" s="8">
        <f t="shared" si="5"/>
        <v>0</v>
      </c>
      <c r="M33" s="8">
        <f t="shared" si="5"/>
        <v>0</v>
      </c>
      <c r="N33" s="8">
        <f t="shared" si="5"/>
        <v>0</v>
      </c>
      <c r="O33" s="8">
        <f t="shared" si="5"/>
        <v>0</v>
      </c>
      <c r="P33" s="8">
        <f t="shared" si="5"/>
        <v>0</v>
      </c>
      <c r="Q33" s="8">
        <f t="shared" si="5"/>
        <v>0</v>
      </c>
      <c r="R33" s="8">
        <f t="shared" si="5"/>
        <v>0</v>
      </c>
      <c r="S33" s="9">
        <f t="shared" si="5"/>
        <v>0</v>
      </c>
    </row>
    <row r="34" spans="1:19" ht="24" x14ac:dyDescent="0.3">
      <c r="A34" s="7" t="s">
        <v>34</v>
      </c>
      <c r="B34" s="8">
        <v>19.600000000000001</v>
      </c>
      <c r="C34" s="8">
        <v>5.8</v>
      </c>
      <c r="D34" s="8">
        <v>2.2999999999999998</v>
      </c>
      <c r="E34" s="8">
        <v>7.5</v>
      </c>
      <c r="F34" s="8">
        <v>0.7</v>
      </c>
      <c r="G34" s="8">
        <v>5.9</v>
      </c>
      <c r="H34" s="8">
        <v>1.3</v>
      </c>
      <c r="I34" s="9">
        <v>181</v>
      </c>
      <c r="J34" s="10"/>
      <c r="L34" s="8">
        <f t="shared" si="5"/>
        <v>0</v>
      </c>
      <c r="M34" s="8">
        <f t="shared" si="5"/>
        <v>0</v>
      </c>
      <c r="N34" s="8">
        <f t="shared" si="5"/>
        <v>0</v>
      </c>
      <c r="O34" s="8">
        <f t="shared" si="5"/>
        <v>0</v>
      </c>
      <c r="P34" s="8">
        <f t="shared" si="5"/>
        <v>0</v>
      </c>
      <c r="Q34" s="8">
        <f t="shared" si="5"/>
        <v>0</v>
      </c>
      <c r="R34" s="8">
        <f t="shared" si="5"/>
        <v>0</v>
      </c>
      <c r="S34" s="9">
        <f t="shared" si="5"/>
        <v>0</v>
      </c>
    </row>
    <row r="35" spans="1:19" ht="24" x14ac:dyDescent="0.3">
      <c r="A35" s="7" t="s">
        <v>35</v>
      </c>
      <c r="B35" s="8">
        <v>16.2</v>
      </c>
      <c r="C35" s="8">
        <v>5.2</v>
      </c>
      <c r="D35" s="8">
        <v>3.3</v>
      </c>
      <c r="E35" s="8">
        <v>14.4</v>
      </c>
      <c r="F35" s="8">
        <v>1</v>
      </c>
      <c r="G35" s="8">
        <v>5.9</v>
      </c>
      <c r="H35" s="8">
        <v>1</v>
      </c>
      <c r="I35" s="9">
        <v>227</v>
      </c>
      <c r="J35" s="10"/>
      <c r="L35" s="8">
        <f t="shared" si="5"/>
        <v>0</v>
      </c>
      <c r="M35" s="8">
        <f t="shared" si="5"/>
        <v>0</v>
      </c>
      <c r="N35" s="8">
        <f t="shared" si="5"/>
        <v>0</v>
      </c>
      <c r="O35" s="8">
        <f t="shared" si="5"/>
        <v>0</v>
      </c>
      <c r="P35" s="8">
        <f t="shared" si="5"/>
        <v>0</v>
      </c>
      <c r="Q35" s="8">
        <f t="shared" si="5"/>
        <v>0</v>
      </c>
      <c r="R35" s="8">
        <f t="shared" si="5"/>
        <v>0</v>
      </c>
      <c r="S35" s="9">
        <f t="shared" si="5"/>
        <v>0</v>
      </c>
    </row>
    <row r="36" spans="1:19" x14ac:dyDescent="0.3">
      <c r="A36" s="7" t="s">
        <v>36</v>
      </c>
      <c r="B36" s="8">
        <v>20</v>
      </c>
      <c r="C36" s="8">
        <v>0</v>
      </c>
      <c r="D36" s="8">
        <v>0</v>
      </c>
      <c r="E36" s="8">
        <v>13</v>
      </c>
      <c r="F36" s="8">
        <v>3</v>
      </c>
      <c r="G36" s="8">
        <v>0</v>
      </c>
      <c r="H36" s="8">
        <v>0.59</v>
      </c>
      <c r="I36" s="9">
        <v>208</v>
      </c>
      <c r="J36" s="10"/>
      <c r="L36" s="8">
        <f t="shared" ref="L36:S51" si="7">B36*$J36</f>
        <v>0</v>
      </c>
      <c r="M36" s="8">
        <f t="shared" si="7"/>
        <v>0</v>
      </c>
      <c r="N36" s="8">
        <f t="shared" si="7"/>
        <v>0</v>
      </c>
      <c r="O36" s="8">
        <f t="shared" si="7"/>
        <v>0</v>
      </c>
      <c r="P36" s="8">
        <f t="shared" si="7"/>
        <v>0</v>
      </c>
      <c r="Q36" s="8">
        <f t="shared" si="7"/>
        <v>0</v>
      </c>
      <c r="R36" s="8">
        <f t="shared" si="7"/>
        <v>0</v>
      </c>
      <c r="S36" s="9">
        <f t="shared" si="7"/>
        <v>0</v>
      </c>
    </row>
    <row r="37" spans="1:19" x14ac:dyDescent="0.3">
      <c r="A37" s="7" t="s">
        <v>37</v>
      </c>
      <c r="B37" s="8">
        <v>21</v>
      </c>
      <c r="C37" s="8">
        <v>0</v>
      </c>
      <c r="D37" s="8">
        <v>0</v>
      </c>
      <c r="E37" s="8">
        <v>3.5</v>
      </c>
      <c r="F37" s="8">
        <v>1</v>
      </c>
      <c r="G37" s="8">
        <v>0</v>
      </c>
      <c r="H37" s="8">
        <v>0.01</v>
      </c>
      <c r="I37" s="9">
        <v>120</v>
      </c>
      <c r="J37" s="10"/>
      <c r="L37" s="8">
        <f t="shared" si="7"/>
        <v>0</v>
      </c>
      <c r="M37" s="8">
        <f t="shared" si="7"/>
        <v>0</v>
      </c>
      <c r="N37" s="8">
        <f t="shared" si="7"/>
        <v>0</v>
      </c>
      <c r="O37" s="8">
        <f t="shared" si="7"/>
        <v>0</v>
      </c>
      <c r="P37" s="8">
        <f t="shared" si="7"/>
        <v>0</v>
      </c>
      <c r="Q37" s="8">
        <f t="shared" si="7"/>
        <v>0</v>
      </c>
      <c r="R37" s="8">
        <f t="shared" si="7"/>
        <v>0</v>
      </c>
      <c r="S37" s="9">
        <f t="shared" si="7"/>
        <v>0</v>
      </c>
    </row>
    <row r="38" spans="1:19" ht="24" x14ac:dyDescent="0.3">
      <c r="A38" s="7" t="s">
        <v>38</v>
      </c>
      <c r="B38" s="8">
        <v>28.15</v>
      </c>
      <c r="C38" s="8">
        <v>0</v>
      </c>
      <c r="D38" s="8">
        <v>0</v>
      </c>
      <c r="E38" s="8">
        <v>5</v>
      </c>
      <c r="F38" s="8">
        <v>2</v>
      </c>
      <c r="G38" s="8">
        <v>0</v>
      </c>
      <c r="H38" s="8">
        <v>0.44</v>
      </c>
      <c r="I38" s="9">
        <v>170.34</v>
      </c>
      <c r="J38" s="10"/>
      <c r="L38" s="8">
        <f t="shared" si="7"/>
        <v>0</v>
      </c>
      <c r="M38" s="8">
        <f t="shared" si="7"/>
        <v>0</v>
      </c>
      <c r="N38" s="8">
        <f t="shared" si="7"/>
        <v>0</v>
      </c>
      <c r="O38" s="8">
        <f t="shared" si="7"/>
        <v>0</v>
      </c>
      <c r="P38" s="8">
        <f t="shared" si="7"/>
        <v>0</v>
      </c>
      <c r="Q38" s="8">
        <f t="shared" si="7"/>
        <v>0</v>
      </c>
      <c r="R38" s="8">
        <f t="shared" si="7"/>
        <v>0</v>
      </c>
      <c r="S38" s="9">
        <f t="shared" si="7"/>
        <v>0</v>
      </c>
    </row>
    <row r="39" spans="1:19" ht="24" x14ac:dyDescent="0.3">
      <c r="A39" s="7" t="s">
        <v>39</v>
      </c>
      <c r="B39" s="8">
        <v>23.4</v>
      </c>
      <c r="C39" s="8">
        <v>0</v>
      </c>
      <c r="D39" s="8">
        <v>0</v>
      </c>
      <c r="E39" s="8">
        <v>1.3</v>
      </c>
      <c r="F39" s="8">
        <v>0.3</v>
      </c>
      <c r="G39" s="8">
        <v>0</v>
      </c>
      <c r="H39" s="8">
        <v>0.2</v>
      </c>
      <c r="I39" s="9">
        <v>105</v>
      </c>
      <c r="J39" s="10"/>
      <c r="L39" s="8">
        <f t="shared" si="7"/>
        <v>0</v>
      </c>
      <c r="M39" s="8">
        <f t="shared" si="7"/>
        <v>0</v>
      </c>
      <c r="N39" s="8">
        <f t="shared" si="7"/>
        <v>0</v>
      </c>
      <c r="O39" s="8">
        <f t="shared" si="7"/>
        <v>0</v>
      </c>
      <c r="P39" s="8">
        <f t="shared" si="7"/>
        <v>0</v>
      </c>
      <c r="Q39" s="8">
        <f t="shared" si="7"/>
        <v>0</v>
      </c>
      <c r="R39" s="8">
        <f t="shared" si="7"/>
        <v>0</v>
      </c>
      <c r="S39" s="9">
        <f t="shared" si="7"/>
        <v>0</v>
      </c>
    </row>
    <row r="40" spans="1:19" ht="24.6" customHeight="1" x14ac:dyDescent="0.3">
      <c r="A40" s="7" t="s">
        <v>69</v>
      </c>
      <c r="B40" s="8">
        <v>27</v>
      </c>
      <c r="C40" s="8">
        <v>21</v>
      </c>
      <c r="D40" s="8">
        <v>11</v>
      </c>
      <c r="E40" s="8">
        <v>9.1999999999999993</v>
      </c>
      <c r="F40" s="8">
        <v>2.2000000000000002</v>
      </c>
      <c r="G40" s="8">
        <v>5.3</v>
      </c>
      <c r="H40" s="8">
        <v>2.8</v>
      </c>
      <c r="I40" s="9">
        <v>288</v>
      </c>
      <c r="J40" s="10"/>
      <c r="L40" s="8">
        <f t="shared" si="7"/>
        <v>0</v>
      </c>
      <c r="M40" s="8">
        <f t="shared" si="7"/>
        <v>0</v>
      </c>
      <c r="N40" s="8">
        <f t="shared" si="7"/>
        <v>0</v>
      </c>
      <c r="O40" s="8">
        <f t="shared" si="7"/>
        <v>0</v>
      </c>
      <c r="P40" s="8">
        <f t="shared" si="7"/>
        <v>0</v>
      </c>
      <c r="Q40" s="8">
        <f t="shared" si="7"/>
        <v>0</v>
      </c>
      <c r="R40" s="8">
        <f t="shared" si="7"/>
        <v>0</v>
      </c>
      <c r="S40" s="9">
        <f t="shared" si="7"/>
        <v>0</v>
      </c>
    </row>
    <row r="41" spans="1:19" ht="24" x14ac:dyDescent="0.3">
      <c r="A41" s="7" t="s">
        <v>68</v>
      </c>
      <c r="B41" s="8">
        <v>31</v>
      </c>
      <c r="C41" s="8">
        <v>42</v>
      </c>
      <c r="D41" s="8">
        <v>6.2</v>
      </c>
      <c r="E41" s="8">
        <v>10</v>
      </c>
      <c r="F41" s="8">
        <v>2.2000000000000002</v>
      </c>
      <c r="G41" s="8">
        <v>3.9</v>
      </c>
      <c r="H41" s="8">
        <v>1.8</v>
      </c>
      <c r="I41" s="9">
        <v>392</v>
      </c>
      <c r="J41" s="10"/>
      <c r="L41" s="8">
        <f t="shared" si="7"/>
        <v>0</v>
      </c>
      <c r="M41" s="8">
        <f t="shared" si="7"/>
        <v>0</v>
      </c>
      <c r="N41" s="8">
        <f t="shared" si="7"/>
        <v>0</v>
      </c>
      <c r="O41" s="8">
        <f t="shared" si="7"/>
        <v>0</v>
      </c>
      <c r="P41" s="8">
        <f t="shared" si="7"/>
        <v>0</v>
      </c>
      <c r="Q41" s="8">
        <f t="shared" si="7"/>
        <v>0</v>
      </c>
      <c r="R41" s="8">
        <f t="shared" si="7"/>
        <v>0</v>
      </c>
      <c r="S41" s="9">
        <f t="shared" si="7"/>
        <v>0</v>
      </c>
    </row>
    <row r="42" spans="1:19" ht="24.6" customHeight="1" x14ac:dyDescent="0.3">
      <c r="A42" s="7" t="s">
        <v>170</v>
      </c>
      <c r="B42" s="8">
        <v>11.25</v>
      </c>
      <c r="C42" s="8">
        <v>2.7</v>
      </c>
      <c r="D42" s="8">
        <v>1.125</v>
      </c>
      <c r="E42" s="8">
        <v>9</v>
      </c>
      <c r="F42" s="8">
        <v>3.2250000000000001</v>
      </c>
      <c r="G42" s="8">
        <v>0</v>
      </c>
      <c r="H42" s="8">
        <v>0.48799999999999999</v>
      </c>
      <c r="I42" s="9">
        <v>138.75</v>
      </c>
      <c r="J42" s="10">
        <v>1</v>
      </c>
      <c r="L42" s="8">
        <f t="shared" si="7"/>
        <v>11.25</v>
      </c>
      <c r="M42" s="8">
        <f t="shared" si="7"/>
        <v>2.7</v>
      </c>
      <c r="N42" s="8">
        <f t="shared" si="7"/>
        <v>1.125</v>
      </c>
      <c r="O42" s="8">
        <f t="shared" si="7"/>
        <v>9</v>
      </c>
      <c r="P42" s="8">
        <f t="shared" si="7"/>
        <v>3.2250000000000001</v>
      </c>
      <c r="Q42" s="8">
        <f t="shared" si="7"/>
        <v>0</v>
      </c>
      <c r="R42" s="8">
        <f t="shared" si="7"/>
        <v>0.48799999999999999</v>
      </c>
      <c r="S42" s="9">
        <f t="shared" si="7"/>
        <v>138.75</v>
      </c>
    </row>
    <row r="43" spans="1:19" x14ac:dyDescent="0.3">
      <c r="A43" s="7" t="s">
        <v>25</v>
      </c>
      <c r="B43" s="8">
        <v>5.4</v>
      </c>
      <c r="C43" s="8">
        <v>0.3</v>
      </c>
      <c r="D43" s="8">
        <v>0.3</v>
      </c>
      <c r="E43" s="8">
        <v>0</v>
      </c>
      <c r="F43" s="8">
        <v>1.9</v>
      </c>
      <c r="G43" s="8">
        <v>0</v>
      </c>
      <c r="H43" s="8">
        <v>0.26</v>
      </c>
      <c r="I43" s="9">
        <v>47</v>
      </c>
      <c r="J43" s="10">
        <v>1</v>
      </c>
      <c r="L43" s="8">
        <f t="shared" si="7"/>
        <v>5.4</v>
      </c>
      <c r="M43" s="8">
        <f t="shared" si="7"/>
        <v>0.3</v>
      </c>
      <c r="N43" s="8">
        <f t="shared" si="7"/>
        <v>0.3</v>
      </c>
      <c r="O43" s="8">
        <f t="shared" si="7"/>
        <v>0</v>
      </c>
      <c r="P43" s="8">
        <f t="shared" si="7"/>
        <v>1.9</v>
      </c>
      <c r="Q43" s="8">
        <f t="shared" si="7"/>
        <v>0</v>
      </c>
      <c r="R43" s="8">
        <f t="shared" si="7"/>
        <v>0.26</v>
      </c>
      <c r="S43" s="9">
        <f t="shared" si="7"/>
        <v>47</v>
      </c>
    </row>
    <row r="44" spans="1:19" x14ac:dyDescent="0.3">
      <c r="A44" s="7" t="s">
        <v>170</v>
      </c>
      <c r="B44" s="8">
        <v>11.25</v>
      </c>
      <c r="C44" s="8">
        <v>2.7</v>
      </c>
      <c r="D44" s="8">
        <v>1.125</v>
      </c>
      <c r="E44" s="8">
        <v>9</v>
      </c>
      <c r="F44" s="8">
        <v>3.2250000000000001</v>
      </c>
      <c r="G44" s="8">
        <v>0</v>
      </c>
      <c r="H44" s="8">
        <v>0.48799999999999999</v>
      </c>
      <c r="I44" s="9">
        <v>138.75</v>
      </c>
      <c r="J44" s="10"/>
      <c r="L44" s="8">
        <f t="shared" si="7"/>
        <v>0</v>
      </c>
      <c r="M44" s="8">
        <f t="shared" si="7"/>
        <v>0</v>
      </c>
      <c r="N44" s="8">
        <f t="shared" si="7"/>
        <v>0</v>
      </c>
      <c r="O44" s="8">
        <f t="shared" si="7"/>
        <v>0</v>
      </c>
      <c r="P44" s="8">
        <f t="shared" si="7"/>
        <v>0</v>
      </c>
      <c r="Q44" s="8">
        <f t="shared" si="7"/>
        <v>0</v>
      </c>
      <c r="R44" s="8">
        <f t="shared" si="7"/>
        <v>0</v>
      </c>
      <c r="S44" s="9">
        <f t="shared" si="7"/>
        <v>0</v>
      </c>
    </row>
    <row r="45" spans="1:19" ht="24" x14ac:dyDescent="0.3">
      <c r="A45" s="7" t="s">
        <v>171</v>
      </c>
      <c r="B45" s="8">
        <v>17.850000000000001</v>
      </c>
      <c r="C45" s="8">
        <v>0.6</v>
      </c>
      <c r="D45" s="8">
        <v>0.4</v>
      </c>
      <c r="E45" s="8">
        <v>6.8</v>
      </c>
      <c r="F45" s="8">
        <v>1.87</v>
      </c>
      <c r="G45" s="8">
        <v>0.5</v>
      </c>
      <c r="H45" s="8">
        <v>0.75</v>
      </c>
      <c r="I45" s="9">
        <v>133</v>
      </c>
      <c r="J45" s="10"/>
      <c r="L45" s="8">
        <f t="shared" si="7"/>
        <v>0</v>
      </c>
      <c r="M45" s="8">
        <f t="shared" si="7"/>
        <v>0</v>
      </c>
      <c r="N45" s="8">
        <f t="shared" si="7"/>
        <v>0</v>
      </c>
      <c r="O45" s="8">
        <f t="shared" si="7"/>
        <v>0</v>
      </c>
      <c r="P45" s="8">
        <f t="shared" si="7"/>
        <v>0</v>
      </c>
      <c r="Q45" s="8">
        <f t="shared" si="7"/>
        <v>0</v>
      </c>
      <c r="R45" s="8">
        <f t="shared" si="7"/>
        <v>0</v>
      </c>
      <c r="S45" s="9">
        <f>I45*$J45</f>
        <v>0</v>
      </c>
    </row>
    <row r="46" spans="1:19" x14ac:dyDescent="0.3">
      <c r="A46" s="7" t="s">
        <v>43</v>
      </c>
      <c r="B46" s="8">
        <v>10.4</v>
      </c>
      <c r="C46" s="8">
        <v>3</v>
      </c>
      <c r="D46" s="8">
        <v>0</v>
      </c>
      <c r="E46" s="8">
        <v>0.8</v>
      </c>
      <c r="F46" s="8">
        <v>0.56000000000000005</v>
      </c>
      <c r="G46" s="8">
        <v>0.3</v>
      </c>
      <c r="H46" s="8">
        <v>0.48</v>
      </c>
      <c r="I46" s="9">
        <v>61</v>
      </c>
      <c r="J46" s="10"/>
      <c r="L46" s="8">
        <f t="shared" si="7"/>
        <v>0</v>
      </c>
      <c r="M46" s="8">
        <f t="shared" si="7"/>
        <v>0</v>
      </c>
      <c r="N46" s="8">
        <f t="shared" si="7"/>
        <v>0</v>
      </c>
      <c r="O46" s="8">
        <f t="shared" si="7"/>
        <v>0</v>
      </c>
      <c r="P46" s="8">
        <f t="shared" si="7"/>
        <v>0</v>
      </c>
      <c r="Q46" s="8">
        <f t="shared" si="7"/>
        <v>0</v>
      </c>
      <c r="R46" s="8">
        <f t="shared" si="7"/>
        <v>0</v>
      </c>
      <c r="S46" s="9">
        <f>I46*$J46</f>
        <v>0</v>
      </c>
    </row>
    <row r="47" spans="1:19" x14ac:dyDescent="0.3">
      <c r="A47" s="7" t="s">
        <v>44</v>
      </c>
      <c r="B47" s="8">
        <v>7.9</v>
      </c>
      <c r="C47" s="8">
        <v>2.6</v>
      </c>
      <c r="D47" s="8">
        <v>0</v>
      </c>
      <c r="E47" s="8">
        <v>0</v>
      </c>
      <c r="F47" s="8">
        <v>0</v>
      </c>
      <c r="G47" s="8">
        <v>0</v>
      </c>
      <c r="H47" s="8">
        <v>0.64</v>
      </c>
      <c r="I47" s="9">
        <v>42</v>
      </c>
      <c r="J47" s="10"/>
      <c r="L47" s="8">
        <f t="shared" si="7"/>
        <v>0</v>
      </c>
      <c r="M47" s="8">
        <f t="shared" si="7"/>
        <v>0</v>
      </c>
      <c r="N47" s="8">
        <f t="shared" si="7"/>
        <v>0</v>
      </c>
      <c r="O47" s="8">
        <f t="shared" si="7"/>
        <v>0</v>
      </c>
      <c r="P47" s="8">
        <f t="shared" si="7"/>
        <v>0</v>
      </c>
      <c r="Q47" s="8">
        <f t="shared" si="7"/>
        <v>0</v>
      </c>
      <c r="R47" s="8">
        <f t="shared" si="7"/>
        <v>0</v>
      </c>
      <c r="S47" s="9">
        <f>I47*$J47</f>
        <v>0</v>
      </c>
    </row>
    <row r="48" spans="1:19" ht="24" x14ac:dyDescent="0.3">
      <c r="A48" s="7" t="s">
        <v>16</v>
      </c>
      <c r="B48" s="8">
        <v>6.2</v>
      </c>
      <c r="C48" s="8">
        <v>6.4</v>
      </c>
      <c r="D48" s="8">
        <v>0</v>
      </c>
      <c r="E48" s="8">
        <v>0.2</v>
      </c>
      <c r="F48" s="8">
        <v>0.1</v>
      </c>
      <c r="G48" s="8">
        <v>0</v>
      </c>
      <c r="H48" s="8">
        <v>0.14000000000000001</v>
      </c>
      <c r="I48" s="9">
        <v>56</v>
      </c>
      <c r="J48" s="10"/>
      <c r="L48" s="8">
        <f>B48*$J48</f>
        <v>0</v>
      </c>
      <c r="M48" s="8">
        <f t="shared" si="7"/>
        <v>0</v>
      </c>
      <c r="N48" s="8">
        <f t="shared" si="7"/>
        <v>0</v>
      </c>
      <c r="O48" s="8">
        <f t="shared" si="7"/>
        <v>0</v>
      </c>
      <c r="P48" s="8">
        <f t="shared" si="7"/>
        <v>0</v>
      </c>
      <c r="Q48" s="8">
        <f t="shared" si="7"/>
        <v>0</v>
      </c>
      <c r="R48" s="8">
        <f t="shared" si="7"/>
        <v>0</v>
      </c>
      <c r="S48" s="9">
        <f t="shared" si="7"/>
        <v>0</v>
      </c>
    </row>
    <row r="49" spans="1:19" ht="24" x14ac:dyDescent="0.3">
      <c r="A49" s="7" t="s">
        <v>183</v>
      </c>
      <c r="B49" s="8">
        <v>8.3000000000000007</v>
      </c>
      <c r="C49" s="8">
        <v>5.4</v>
      </c>
      <c r="D49" s="8">
        <v>5.0999999999999996</v>
      </c>
      <c r="E49" s="8">
        <v>0.5</v>
      </c>
      <c r="F49" s="8">
        <v>0.3</v>
      </c>
      <c r="G49" s="8">
        <v>0</v>
      </c>
      <c r="H49" s="8">
        <v>0.17</v>
      </c>
      <c r="I49" s="9">
        <v>60</v>
      </c>
      <c r="J49" s="10">
        <v>1.5</v>
      </c>
      <c r="L49" s="8">
        <f t="shared" ref="L49" si="8">B49*$J49</f>
        <v>12.450000000000001</v>
      </c>
      <c r="M49" s="8">
        <f t="shared" si="7"/>
        <v>8.1000000000000014</v>
      </c>
      <c r="N49" s="8">
        <f t="shared" si="7"/>
        <v>7.6499999999999995</v>
      </c>
      <c r="O49" s="8">
        <f t="shared" si="7"/>
        <v>0.75</v>
      </c>
      <c r="P49" s="8">
        <f t="shared" si="7"/>
        <v>0.44999999999999996</v>
      </c>
      <c r="Q49" s="8">
        <f t="shared" si="7"/>
        <v>0</v>
      </c>
      <c r="R49" s="8">
        <f t="shared" si="7"/>
        <v>0.255</v>
      </c>
      <c r="S49" s="9">
        <f>I49*$J49</f>
        <v>90</v>
      </c>
    </row>
    <row r="50" spans="1:19" x14ac:dyDescent="0.3">
      <c r="A50" s="7" t="s">
        <v>158</v>
      </c>
      <c r="B50" s="8">
        <v>26.3</v>
      </c>
      <c r="C50" s="8">
        <v>41.3</v>
      </c>
      <c r="D50" s="8">
        <v>3</v>
      </c>
      <c r="E50" s="8">
        <v>15.8</v>
      </c>
      <c r="F50" s="8">
        <v>3.3</v>
      </c>
      <c r="G50" s="8">
        <v>3.8</v>
      </c>
      <c r="H50" s="8">
        <v>2.8</v>
      </c>
      <c r="I50" s="9">
        <v>419</v>
      </c>
      <c r="J50" s="10">
        <v>1</v>
      </c>
      <c r="L50" s="8">
        <f>B50*$J50</f>
        <v>26.3</v>
      </c>
      <c r="M50" s="8">
        <f t="shared" si="7"/>
        <v>41.3</v>
      </c>
      <c r="N50" s="8">
        <f t="shared" si="7"/>
        <v>3</v>
      </c>
      <c r="O50" s="8">
        <f t="shared" si="7"/>
        <v>15.8</v>
      </c>
      <c r="P50" s="8">
        <f t="shared" si="7"/>
        <v>3.3</v>
      </c>
      <c r="Q50" s="8">
        <f t="shared" si="7"/>
        <v>3.8</v>
      </c>
      <c r="R50" s="8">
        <f t="shared" si="7"/>
        <v>2.8</v>
      </c>
      <c r="S50" s="9">
        <f t="shared" si="7"/>
        <v>419</v>
      </c>
    </row>
    <row r="51" spans="1:19" x14ac:dyDescent="0.3">
      <c r="A51" s="4" t="s">
        <v>192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/>
      <c r="K51" s="6"/>
      <c r="L51" s="5">
        <f>B51*$J51</f>
        <v>0</v>
      </c>
      <c r="M51" s="5">
        <f t="shared" si="7"/>
        <v>0</v>
      </c>
      <c r="N51" s="5">
        <f t="shared" si="7"/>
        <v>0</v>
      </c>
      <c r="O51" s="5">
        <f t="shared" si="7"/>
        <v>0</v>
      </c>
      <c r="P51" s="5">
        <f t="shared" si="7"/>
        <v>0</v>
      </c>
      <c r="Q51" s="5">
        <f t="shared" si="7"/>
        <v>0</v>
      </c>
      <c r="R51" s="5">
        <f t="shared" si="7"/>
        <v>0</v>
      </c>
      <c r="S51" s="5">
        <f t="shared" si="7"/>
        <v>0</v>
      </c>
    </row>
    <row r="52" spans="1:19" ht="36" x14ac:dyDescent="0.3">
      <c r="A52" s="7" t="s">
        <v>31</v>
      </c>
      <c r="B52" s="8">
        <v>1.8</v>
      </c>
      <c r="C52" s="8">
        <v>20</v>
      </c>
      <c r="D52" s="8">
        <v>0</v>
      </c>
      <c r="E52" s="8">
        <v>0</v>
      </c>
      <c r="F52" s="8">
        <v>0</v>
      </c>
      <c r="G52" s="8">
        <v>2</v>
      </c>
      <c r="H52" s="8">
        <v>0.01</v>
      </c>
      <c r="I52" s="9">
        <v>87</v>
      </c>
      <c r="J52" s="10"/>
      <c r="L52" s="8">
        <f t="shared" ref="L52:S61" si="9">B52*$J52</f>
        <v>0</v>
      </c>
      <c r="M52" s="8">
        <f t="shared" si="9"/>
        <v>0</v>
      </c>
      <c r="N52" s="8">
        <f t="shared" si="9"/>
        <v>0</v>
      </c>
      <c r="O52" s="8">
        <f t="shared" si="9"/>
        <v>0</v>
      </c>
      <c r="P52" s="8">
        <f t="shared" si="9"/>
        <v>0</v>
      </c>
      <c r="Q52" s="8">
        <f t="shared" si="9"/>
        <v>0</v>
      </c>
      <c r="R52" s="8">
        <f t="shared" si="9"/>
        <v>0</v>
      </c>
      <c r="S52" s="9">
        <f t="shared" si="9"/>
        <v>0</v>
      </c>
    </row>
    <row r="53" spans="1:19" ht="24" x14ac:dyDescent="0.3">
      <c r="A53" s="7" t="s">
        <v>32</v>
      </c>
      <c r="B53" s="8">
        <v>2.5</v>
      </c>
      <c r="C53" s="8">
        <v>29</v>
      </c>
      <c r="D53" s="8">
        <v>0</v>
      </c>
      <c r="E53" s="8">
        <v>0.2</v>
      </c>
      <c r="F53" s="8">
        <v>0.1</v>
      </c>
      <c r="G53" s="8">
        <v>0.4</v>
      </c>
      <c r="H53" s="8">
        <v>0.3</v>
      </c>
      <c r="I53" s="9">
        <v>130</v>
      </c>
      <c r="J53" s="10"/>
      <c r="L53" s="8">
        <f t="shared" si="9"/>
        <v>0</v>
      </c>
      <c r="M53" s="8">
        <f t="shared" si="9"/>
        <v>0</v>
      </c>
      <c r="N53" s="8">
        <f t="shared" si="9"/>
        <v>0</v>
      </c>
      <c r="O53" s="8">
        <f t="shared" si="9"/>
        <v>0</v>
      </c>
      <c r="P53" s="8">
        <f t="shared" si="9"/>
        <v>0</v>
      </c>
      <c r="Q53" s="8">
        <f t="shared" si="9"/>
        <v>0</v>
      </c>
      <c r="R53" s="8">
        <f t="shared" si="9"/>
        <v>0</v>
      </c>
      <c r="S53" s="9">
        <f t="shared" si="9"/>
        <v>0</v>
      </c>
    </row>
    <row r="54" spans="1:19" ht="24" x14ac:dyDescent="0.3">
      <c r="A54" s="7" t="s">
        <v>33</v>
      </c>
      <c r="B54" s="8">
        <v>2.93</v>
      </c>
      <c r="C54" s="8">
        <v>25.7</v>
      </c>
      <c r="D54" s="8">
        <v>0</v>
      </c>
      <c r="E54" s="8">
        <v>0.93</v>
      </c>
      <c r="F54" s="8">
        <v>0.3</v>
      </c>
      <c r="G54" s="8">
        <v>1.03</v>
      </c>
      <c r="H54" s="8">
        <v>0.03</v>
      </c>
      <c r="I54" s="9">
        <v>125</v>
      </c>
      <c r="J54" s="10"/>
      <c r="L54" s="8">
        <f t="shared" si="9"/>
        <v>0</v>
      </c>
      <c r="M54" s="8">
        <f t="shared" si="9"/>
        <v>0</v>
      </c>
      <c r="N54" s="8">
        <f t="shared" si="9"/>
        <v>0</v>
      </c>
      <c r="O54" s="8">
        <f t="shared" si="9"/>
        <v>0</v>
      </c>
      <c r="P54" s="8">
        <f t="shared" si="9"/>
        <v>0</v>
      </c>
      <c r="Q54" s="8">
        <f t="shared" si="9"/>
        <v>0</v>
      </c>
      <c r="R54" s="8">
        <f t="shared" si="9"/>
        <v>0</v>
      </c>
      <c r="S54" s="9">
        <f t="shared" si="9"/>
        <v>0</v>
      </c>
    </row>
    <row r="55" spans="1:19" x14ac:dyDescent="0.3">
      <c r="A55" s="7" t="s">
        <v>41</v>
      </c>
      <c r="B55" s="8">
        <v>1</v>
      </c>
      <c r="C55" s="8">
        <v>5.5</v>
      </c>
      <c r="D55" s="8">
        <v>0.18</v>
      </c>
      <c r="E55" s="8">
        <v>0.92</v>
      </c>
      <c r="F55" s="8">
        <v>0.16</v>
      </c>
      <c r="G55" s="8">
        <v>0.36</v>
      </c>
      <c r="H55" s="8">
        <v>0</v>
      </c>
      <c r="I55" s="9">
        <v>35.25</v>
      </c>
      <c r="J55" s="10"/>
      <c r="L55" s="8">
        <f t="shared" si="9"/>
        <v>0</v>
      </c>
      <c r="M55" s="8">
        <f t="shared" si="9"/>
        <v>0</v>
      </c>
      <c r="N55" s="8">
        <f t="shared" si="9"/>
        <v>0</v>
      </c>
      <c r="O55" s="8">
        <f t="shared" si="9"/>
        <v>0</v>
      </c>
      <c r="P55" s="8">
        <f t="shared" si="9"/>
        <v>0</v>
      </c>
      <c r="Q55" s="8">
        <f t="shared" si="9"/>
        <v>0</v>
      </c>
      <c r="R55" s="8">
        <f t="shared" si="9"/>
        <v>0</v>
      </c>
      <c r="S55" s="9">
        <f t="shared" si="9"/>
        <v>0</v>
      </c>
    </row>
    <row r="56" spans="1:19" x14ac:dyDescent="0.3">
      <c r="A56" s="7" t="s">
        <v>149</v>
      </c>
      <c r="B56" s="8">
        <v>1</v>
      </c>
      <c r="C56" s="8">
        <v>6.09</v>
      </c>
      <c r="D56" s="8">
        <v>0.25</v>
      </c>
      <c r="E56" s="8">
        <v>1</v>
      </c>
      <c r="F56" s="8">
        <v>0.17</v>
      </c>
      <c r="G56" s="8">
        <v>0.34</v>
      </c>
      <c r="H56" s="8">
        <v>0.12</v>
      </c>
      <c r="I56" s="9">
        <v>38.299999999999997</v>
      </c>
      <c r="J56" s="10">
        <v>3</v>
      </c>
      <c r="L56" s="8">
        <f t="shared" si="9"/>
        <v>3</v>
      </c>
      <c r="M56" s="8">
        <f t="shared" si="9"/>
        <v>18.27</v>
      </c>
      <c r="N56" s="8">
        <f t="shared" si="9"/>
        <v>0.75</v>
      </c>
      <c r="O56" s="8">
        <f t="shared" si="9"/>
        <v>3</v>
      </c>
      <c r="P56" s="8">
        <f t="shared" si="9"/>
        <v>0.51</v>
      </c>
      <c r="Q56" s="8">
        <f t="shared" si="9"/>
        <v>1.02</v>
      </c>
      <c r="R56" s="8">
        <f t="shared" si="9"/>
        <v>0.36</v>
      </c>
      <c r="S56" s="9">
        <f>I56*$J56</f>
        <v>114.89999999999999</v>
      </c>
    </row>
    <row r="57" spans="1:19" x14ac:dyDescent="0.3">
      <c r="A57" s="7"/>
      <c r="B57" s="8"/>
      <c r="C57" s="8"/>
      <c r="D57" s="8"/>
      <c r="E57" s="8"/>
      <c r="F57" s="8"/>
      <c r="G57" s="8"/>
      <c r="H57" s="8"/>
      <c r="I57" s="9"/>
      <c r="J57" s="10"/>
      <c r="L57" s="8">
        <f t="shared" si="9"/>
        <v>0</v>
      </c>
      <c r="M57" s="8">
        <f t="shared" si="9"/>
        <v>0</v>
      </c>
      <c r="N57" s="8">
        <f t="shared" si="9"/>
        <v>0</v>
      </c>
      <c r="O57" s="8">
        <f t="shared" si="9"/>
        <v>0</v>
      </c>
      <c r="P57" s="8">
        <f t="shared" si="9"/>
        <v>0</v>
      </c>
      <c r="Q57" s="8">
        <f t="shared" si="9"/>
        <v>0</v>
      </c>
      <c r="R57" s="8">
        <f t="shared" si="9"/>
        <v>0</v>
      </c>
      <c r="S57" s="9">
        <f>I57*$J57</f>
        <v>0</v>
      </c>
    </row>
    <row r="58" spans="1:19" ht="24" x14ac:dyDescent="0.3">
      <c r="A58" s="7" t="s">
        <v>50</v>
      </c>
      <c r="B58" s="8">
        <v>4.5</v>
      </c>
      <c r="C58" s="8">
        <v>5.7</v>
      </c>
      <c r="D58" s="8">
        <v>0.8</v>
      </c>
      <c r="E58" s="8">
        <v>2.4</v>
      </c>
      <c r="F58" s="8">
        <v>0.3</v>
      </c>
      <c r="G58" s="8">
        <v>4.5</v>
      </c>
      <c r="H58" s="8">
        <v>0.3</v>
      </c>
      <c r="I58" s="9">
        <v>71</v>
      </c>
      <c r="J58" s="10"/>
      <c r="L58" s="8">
        <f t="shared" si="9"/>
        <v>0</v>
      </c>
      <c r="M58" s="8">
        <f t="shared" si="9"/>
        <v>0</v>
      </c>
      <c r="N58" s="8">
        <f t="shared" si="9"/>
        <v>0</v>
      </c>
      <c r="O58" s="8">
        <f t="shared" si="9"/>
        <v>0</v>
      </c>
      <c r="P58" s="8">
        <f t="shared" si="9"/>
        <v>0</v>
      </c>
      <c r="Q58" s="8">
        <f t="shared" si="9"/>
        <v>0</v>
      </c>
      <c r="R58" s="8">
        <f t="shared" si="9"/>
        <v>0</v>
      </c>
      <c r="S58" s="9">
        <f t="shared" si="9"/>
        <v>0</v>
      </c>
    </row>
    <row r="59" spans="1:19" x14ac:dyDescent="0.3">
      <c r="A59" s="7"/>
      <c r="B59" s="8"/>
      <c r="C59" s="8"/>
      <c r="D59" s="8"/>
      <c r="E59" s="8"/>
      <c r="F59" s="8"/>
      <c r="G59" s="8"/>
      <c r="H59" s="8"/>
      <c r="I59" s="9"/>
      <c r="J59" s="10"/>
      <c r="L59" s="8">
        <f t="shared" si="9"/>
        <v>0</v>
      </c>
      <c r="M59" s="8">
        <f t="shared" si="9"/>
        <v>0</v>
      </c>
      <c r="N59" s="8">
        <f t="shared" si="9"/>
        <v>0</v>
      </c>
      <c r="O59" s="8">
        <f t="shared" si="9"/>
        <v>0</v>
      </c>
      <c r="P59" s="8">
        <f t="shared" si="9"/>
        <v>0</v>
      </c>
      <c r="Q59" s="8">
        <f t="shared" si="9"/>
        <v>0</v>
      </c>
      <c r="R59" s="8">
        <f t="shared" si="9"/>
        <v>0</v>
      </c>
      <c r="S59" s="9">
        <f>I59*$J59</f>
        <v>0</v>
      </c>
    </row>
    <row r="60" spans="1:19" x14ac:dyDescent="0.3">
      <c r="A60" s="7"/>
      <c r="B60" s="8"/>
      <c r="C60" s="8"/>
      <c r="D60" s="8"/>
      <c r="E60" s="8"/>
      <c r="F60" s="8"/>
      <c r="G60" s="8"/>
      <c r="H60" s="8"/>
      <c r="I60" s="9"/>
      <c r="J60" s="10"/>
      <c r="L60" s="8">
        <f t="shared" si="9"/>
        <v>0</v>
      </c>
      <c r="M60" s="8">
        <f t="shared" si="9"/>
        <v>0</v>
      </c>
      <c r="N60" s="8">
        <f t="shared" si="9"/>
        <v>0</v>
      </c>
      <c r="O60" s="8">
        <f t="shared" si="9"/>
        <v>0</v>
      </c>
      <c r="P60" s="8">
        <f t="shared" si="9"/>
        <v>0</v>
      </c>
      <c r="Q60" s="8">
        <f t="shared" si="9"/>
        <v>0</v>
      </c>
      <c r="R60" s="8">
        <f t="shared" si="9"/>
        <v>0</v>
      </c>
      <c r="S60" s="9">
        <f>I60*$J60</f>
        <v>0</v>
      </c>
    </row>
    <row r="61" spans="1:19" x14ac:dyDescent="0.3">
      <c r="A61" s="4" t="s">
        <v>193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/>
      <c r="K61" s="6"/>
      <c r="L61" s="5">
        <f>B61*$J61</f>
        <v>0</v>
      </c>
      <c r="M61" s="5">
        <f t="shared" si="9"/>
        <v>0</v>
      </c>
      <c r="N61" s="5">
        <f t="shared" si="9"/>
        <v>0</v>
      </c>
      <c r="O61" s="5">
        <f t="shared" si="9"/>
        <v>0</v>
      </c>
      <c r="P61" s="5">
        <f t="shared" si="9"/>
        <v>0</v>
      </c>
      <c r="Q61" s="5">
        <f t="shared" si="9"/>
        <v>0</v>
      </c>
      <c r="R61" s="5">
        <f t="shared" si="9"/>
        <v>0</v>
      </c>
      <c r="S61" s="5">
        <f t="shared" si="9"/>
        <v>0</v>
      </c>
    </row>
    <row r="62" spans="1:19" x14ac:dyDescent="0.3">
      <c r="A62" s="7" t="s">
        <v>12</v>
      </c>
      <c r="B62" s="8">
        <v>0</v>
      </c>
      <c r="C62" s="8">
        <v>9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9">
        <v>29</v>
      </c>
      <c r="J62" s="10"/>
      <c r="L62" s="8">
        <f t="shared" ref="L62:S72" si="10">B62*$J62</f>
        <v>0</v>
      </c>
      <c r="M62" s="8">
        <f t="shared" si="10"/>
        <v>0</v>
      </c>
      <c r="N62" s="8">
        <f t="shared" si="10"/>
        <v>0</v>
      </c>
      <c r="O62" s="8">
        <f t="shared" si="10"/>
        <v>0</v>
      </c>
      <c r="P62" s="8">
        <f t="shared" si="10"/>
        <v>0</v>
      </c>
      <c r="Q62" s="8">
        <f t="shared" si="10"/>
        <v>0</v>
      </c>
      <c r="R62" s="8">
        <f t="shared" si="10"/>
        <v>0</v>
      </c>
      <c r="S62" s="9">
        <f t="shared" si="10"/>
        <v>0</v>
      </c>
    </row>
    <row r="63" spans="1:19" x14ac:dyDescent="0.3">
      <c r="A63" s="7" t="s">
        <v>24</v>
      </c>
      <c r="B63" s="8">
        <v>1.1000000000000001</v>
      </c>
      <c r="C63" s="8">
        <v>23</v>
      </c>
      <c r="D63" s="8">
        <v>0</v>
      </c>
      <c r="E63" s="8">
        <v>0.3</v>
      </c>
      <c r="F63" s="8">
        <v>0.1</v>
      </c>
      <c r="G63" s="8">
        <v>2.6</v>
      </c>
      <c r="H63" s="8">
        <v>1E-3</v>
      </c>
      <c r="I63" s="9">
        <v>89</v>
      </c>
      <c r="J63" s="10"/>
      <c r="L63" s="8">
        <f t="shared" si="10"/>
        <v>0</v>
      </c>
      <c r="M63" s="8">
        <f t="shared" si="10"/>
        <v>0</v>
      </c>
      <c r="N63" s="8">
        <f t="shared" si="10"/>
        <v>0</v>
      </c>
      <c r="O63" s="8">
        <f t="shared" si="10"/>
        <v>0</v>
      </c>
      <c r="P63" s="8">
        <f t="shared" si="10"/>
        <v>0</v>
      </c>
      <c r="Q63" s="8">
        <f t="shared" si="10"/>
        <v>0</v>
      </c>
      <c r="R63" s="8">
        <f t="shared" si="10"/>
        <v>0</v>
      </c>
      <c r="S63" s="9">
        <f t="shared" si="10"/>
        <v>0</v>
      </c>
    </row>
    <row r="64" spans="1:19" ht="24" x14ac:dyDescent="0.3">
      <c r="A64" s="7" t="s">
        <v>66</v>
      </c>
      <c r="B64" s="8">
        <v>0.6</v>
      </c>
      <c r="C64" s="8">
        <v>19</v>
      </c>
      <c r="D64" s="8">
        <v>0</v>
      </c>
      <c r="E64" s="8">
        <v>0.2</v>
      </c>
      <c r="F64" s="8">
        <v>0</v>
      </c>
      <c r="G64" s="8">
        <v>4.2</v>
      </c>
      <c r="H64" s="8">
        <v>0</v>
      </c>
      <c r="I64" s="9">
        <v>75</v>
      </c>
      <c r="J64" s="10">
        <v>1</v>
      </c>
      <c r="L64" s="8">
        <f t="shared" si="10"/>
        <v>0.6</v>
      </c>
      <c r="M64" s="8">
        <f t="shared" si="10"/>
        <v>19</v>
      </c>
      <c r="N64" s="8">
        <f t="shared" si="10"/>
        <v>0</v>
      </c>
      <c r="O64" s="8">
        <f t="shared" si="10"/>
        <v>0.2</v>
      </c>
      <c r="P64" s="8">
        <f t="shared" si="10"/>
        <v>0</v>
      </c>
      <c r="Q64" s="8">
        <f t="shared" si="10"/>
        <v>4.2</v>
      </c>
      <c r="R64" s="8">
        <f t="shared" si="10"/>
        <v>0</v>
      </c>
      <c r="S64" s="9">
        <f t="shared" si="10"/>
        <v>75</v>
      </c>
    </row>
    <row r="65" spans="1:19" x14ac:dyDescent="0.3">
      <c r="A65" s="7" t="s">
        <v>20</v>
      </c>
      <c r="B65" s="8">
        <v>1.1000000000000001</v>
      </c>
      <c r="C65" s="8">
        <v>15</v>
      </c>
      <c r="D65" s="8">
        <v>0</v>
      </c>
      <c r="E65" s="8">
        <v>0.5</v>
      </c>
      <c r="F65" s="8">
        <v>0</v>
      </c>
      <c r="G65" s="8">
        <v>3</v>
      </c>
      <c r="H65" s="8">
        <v>3.0000000000000001E-3</v>
      </c>
      <c r="I65" s="9">
        <v>61</v>
      </c>
      <c r="J65" s="10"/>
      <c r="L65" s="8">
        <f t="shared" si="10"/>
        <v>0</v>
      </c>
      <c r="M65" s="8">
        <f t="shared" si="10"/>
        <v>0</v>
      </c>
      <c r="N65" s="8">
        <f t="shared" si="10"/>
        <v>0</v>
      </c>
      <c r="O65" s="8">
        <f t="shared" si="10"/>
        <v>0</v>
      </c>
      <c r="P65" s="8">
        <f t="shared" si="10"/>
        <v>0</v>
      </c>
      <c r="Q65" s="8">
        <f t="shared" si="10"/>
        <v>0</v>
      </c>
      <c r="R65" s="8">
        <f t="shared" si="10"/>
        <v>0</v>
      </c>
      <c r="S65" s="9">
        <f t="shared" si="10"/>
        <v>0</v>
      </c>
    </row>
    <row r="66" spans="1:19" x14ac:dyDescent="0.3">
      <c r="A66" s="7" t="s">
        <v>51</v>
      </c>
      <c r="B66" s="8">
        <v>0.3</v>
      </c>
      <c r="C66" s="8">
        <v>14</v>
      </c>
      <c r="D66" s="8">
        <v>0</v>
      </c>
      <c r="E66" s="8">
        <v>0.2</v>
      </c>
      <c r="F66" s="8">
        <v>0</v>
      </c>
      <c r="G66" s="8">
        <v>2.4</v>
      </c>
      <c r="H66" s="8">
        <v>0.01</v>
      </c>
      <c r="I66" s="9">
        <v>52</v>
      </c>
      <c r="J66" s="10"/>
      <c r="L66" s="8">
        <f t="shared" si="10"/>
        <v>0</v>
      </c>
      <c r="M66" s="8">
        <f t="shared" si="10"/>
        <v>0</v>
      </c>
      <c r="N66" s="8">
        <f t="shared" si="10"/>
        <v>0</v>
      </c>
      <c r="O66" s="8">
        <f t="shared" si="10"/>
        <v>0</v>
      </c>
      <c r="P66" s="8">
        <f t="shared" si="10"/>
        <v>0</v>
      </c>
      <c r="Q66" s="8">
        <f t="shared" si="10"/>
        <v>0</v>
      </c>
      <c r="R66" s="8">
        <f t="shared" si="10"/>
        <v>0</v>
      </c>
      <c r="S66" s="9">
        <f t="shared" si="10"/>
        <v>0</v>
      </c>
    </row>
    <row r="67" spans="1:19" x14ac:dyDescent="0.3">
      <c r="A67" s="7" t="s">
        <v>52</v>
      </c>
      <c r="B67" s="8">
        <v>0.4</v>
      </c>
      <c r="C67" s="8">
        <v>12</v>
      </c>
      <c r="D67" s="8">
        <v>0</v>
      </c>
      <c r="E67" s="8">
        <v>0.5</v>
      </c>
      <c r="F67" s="8">
        <v>0</v>
      </c>
      <c r="G67" s="8">
        <v>2.9</v>
      </c>
      <c r="H67" s="8">
        <v>0</v>
      </c>
      <c r="I67" s="9">
        <v>61</v>
      </c>
      <c r="J67" s="10"/>
      <c r="L67" s="8">
        <f t="shared" si="10"/>
        <v>0</v>
      </c>
      <c r="M67" s="8">
        <f t="shared" si="10"/>
        <v>0</v>
      </c>
      <c r="N67" s="8">
        <f t="shared" si="10"/>
        <v>0</v>
      </c>
      <c r="O67" s="8">
        <f t="shared" si="10"/>
        <v>0</v>
      </c>
      <c r="P67" s="8">
        <f t="shared" si="10"/>
        <v>0</v>
      </c>
      <c r="Q67" s="8">
        <f t="shared" si="10"/>
        <v>0</v>
      </c>
      <c r="R67" s="8">
        <f t="shared" si="10"/>
        <v>0</v>
      </c>
      <c r="S67" s="9">
        <f t="shared" si="10"/>
        <v>0</v>
      </c>
    </row>
    <row r="68" spans="1:19" x14ac:dyDescent="0.3">
      <c r="A68" s="7" t="s">
        <v>53</v>
      </c>
      <c r="B68" s="8">
        <v>1.9</v>
      </c>
      <c r="C68" s="8">
        <v>25</v>
      </c>
      <c r="D68" s="8">
        <v>0</v>
      </c>
      <c r="E68" s="8">
        <v>0.4</v>
      </c>
      <c r="F68" s="8">
        <v>0</v>
      </c>
      <c r="G68" s="8">
        <v>5</v>
      </c>
      <c r="H68" s="8">
        <v>3.0000000000000001E-3</v>
      </c>
      <c r="I68" s="9">
        <v>99</v>
      </c>
      <c r="J68" s="10"/>
      <c r="L68" s="8">
        <f t="shared" si="10"/>
        <v>0</v>
      </c>
      <c r="M68" s="8">
        <f t="shared" si="10"/>
        <v>0</v>
      </c>
      <c r="N68" s="8">
        <f t="shared" si="10"/>
        <v>0</v>
      </c>
      <c r="O68" s="8">
        <f t="shared" si="10"/>
        <v>0</v>
      </c>
      <c r="P68" s="8">
        <f t="shared" si="10"/>
        <v>0</v>
      </c>
      <c r="Q68" s="8">
        <f t="shared" si="10"/>
        <v>0</v>
      </c>
      <c r="R68" s="8">
        <f t="shared" si="10"/>
        <v>0</v>
      </c>
      <c r="S68" s="9">
        <f t="shared" si="10"/>
        <v>0</v>
      </c>
    </row>
    <row r="69" spans="1:19" x14ac:dyDescent="0.3">
      <c r="A69" s="7" t="s">
        <v>17</v>
      </c>
      <c r="B69" s="8">
        <v>0.7</v>
      </c>
      <c r="C69" s="8">
        <v>14.5</v>
      </c>
      <c r="D69" s="8">
        <v>0</v>
      </c>
      <c r="E69" s="8">
        <v>0.3</v>
      </c>
      <c r="F69" s="8">
        <v>0</v>
      </c>
      <c r="G69" s="8">
        <v>2.4</v>
      </c>
      <c r="H69" s="8">
        <v>0.01</v>
      </c>
      <c r="I69" s="9">
        <v>57</v>
      </c>
      <c r="J69" s="10"/>
      <c r="L69" s="8">
        <f t="shared" si="10"/>
        <v>0</v>
      </c>
      <c r="M69" s="8">
        <f t="shared" si="10"/>
        <v>0</v>
      </c>
      <c r="N69" s="8">
        <f t="shared" si="10"/>
        <v>0</v>
      </c>
      <c r="O69" s="8">
        <f t="shared" si="10"/>
        <v>0</v>
      </c>
      <c r="P69" s="8">
        <f t="shared" si="10"/>
        <v>0</v>
      </c>
      <c r="Q69" s="8">
        <f t="shared" si="10"/>
        <v>0</v>
      </c>
      <c r="R69" s="8">
        <f t="shared" si="10"/>
        <v>0</v>
      </c>
      <c r="S69" s="9">
        <f t="shared" si="10"/>
        <v>0</v>
      </c>
    </row>
    <row r="70" spans="1:19" x14ac:dyDescent="0.3">
      <c r="A70" s="7"/>
      <c r="B70" s="8"/>
      <c r="C70" s="8"/>
      <c r="D70" s="8"/>
      <c r="E70" s="8"/>
      <c r="F70" s="8"/>
      <c r="G70" s="8"/>
      <c r="H70" s="8"/>
      <c r="I70" s="9"/>
      <c r="J70" s="10"/>
      <c r="L70" s="8">
        <f t="shared" si="10"/>
        <v>0</v>
      </c>
      <c r="M70" s="8">
        <f t="shared" si="10"/>
        <v>0</v>
      </c>
      <c r="N70" s="8">
        <f t="shared" si="10"/>
        <v>0</v>
      </c>
      <c r="O70" s="8">
        <f t="shared" si="10"/>
        <v>0</v>
      </c>
      <c r="P70" s="8">
        <f t="shared" si="10"/>
        <v>0</v>
      </c>
      <c r="Q70" s="8">
        <f t="shared" si="10"/>
        <v>0</v>
      </c>
      <c r="R70" s="8">
        <f t="shared" si="10"/>
        <v>0</v>
      </c>
      <c r="S70" s="9">
        <f t="shared" si="10"/>
        <v>0</v>
      </c>
    </row>
    <row r="71" spans="1:19" x14ac:dyDescent="0.3">
      <c r="A71" s="7"/>
      <c r="B71" s="8"/>
      <c r="C71" s="8"/>
      <c r="D71" s="8"/>
      <c r="E71" s="8"/>
      <c r="F71" s="8"/>
      <c r="G71" s="8"/>
      <c r="H71" s="8"/>
      <c r="I71" s="9"/>
      <c r="J71" s="10"/>
      <c r="L71" s="8">
        <f t="shared" si="10"/>
        <v>0</v>
      </c>
      <c r="M71" s="8">
        <f t="shared" si="10"/>
        <v>0</v>
      </c>
      <c r="N71" s="8">
        <f t="shared" si="10"/>
        <v>0</v>
      </c>
      <c r="O71" s="8">
        <f t="shared" si="10"/>
        <v>0</v>
      </c>
      <c r="P71" s="8">
        <f t="shared" si="10"/>
        <v>0</v>
      </c>
      <c r="Q71" s="8">
        <f t="shared" si="10"/>
        <v>0</v>
      </c>
      <c r="R71" s="8">
        <f t="shared" si="10"/>
        <v>0</v>
      </c>
      <c r="S71" s="9">
        <f t="shared" si="10"/>
        <v>0</v>
      </c>
    </row>
    <row r="72" spans="1:19" x14ac:dyDescent="0.3">
      <c r="A72" s="4" t="s">
        <v>194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/>
      <c r="K72" s="6"/>
      <c r="L72" s="5">
        <f>B72*$J72</f>
        <v>0</v>
      </c>
      <c r="M72" s="5">
        <f t="shared" si="10"/>
        <v>0</v>
      </c>
      <c r="N72" s="5">
        <f t="shared" si="10"/>
        <v>0</v>
      </c>
      <c r="O72" s="5">
        <f t="shared" si="10"/>
        <v>0</v>
      </c>
      <c r="P72" s="5">
        <f t="shared" si="10"/>
        <v>0</v>
      </c>
      <c r="Q72" s="5">
        <f t="shared" si="10"/>
        <v>0</v>
      </c>
      <c r="R72" s="5">
        <f t="shared" si="10"/>
        <v>0</v>
      </c>
      <c r="S72" s="5">
        <f t="shared" si="10"/>
        <v>0</v>
      </c>
    </row>
    <row r="73" spans="1:19" ht="24" x14ac:dyDescent="0.3">
      <c r="A73" s="7" t="s">
        <v>57</v>
      </c>
      <c r="B73" s="8">
        <v>1.4</v>
      </c>
      <c r="C73" s="8">
        <v>6.48</v>
      </c>
      <c r="D73" s="8">
        <v>0.1</v>
      </c>
      <c r="E73" s="8">
        <v>0.22</v>
      </c>
      <c r="F73" s="8">
        <v>0.05</v>
      </c>
      <c r="G73" s="8">
        <v>1</v>
      </c>
      <c r="H73" s="8">
        <v>1E-3</v>
      </c>
      <c r="I73" s="9">
        <v>35.700000000000003</v>
      </c>
      <c r="J73" s="10"/>
      <c r="L73" s="8">
        <f t="shared" ref="L73:S79" si="11">B73*$J73</f>
        <v>0</v>
      </c>
      <c r="M73" s="8">
        <f t="shared" si="11"/>
        <v>0</v>
      </c>
      <c r="N73" s="8">
        <f t="shared" si="11"/>
        <v>0</v>
      </c>
      <c r="O73" s="8">
        <f t="shared" si="11"/>
        <v>0</v>
      </c>
      <c r="P73" s="8">
        <f t="shared" si="11"/>
        <v>0</v>
      </c>
      <c r="Q73" s="8">
        <f t="shared" si="11"/>
        <v>0</v>
      </c>
      <c r="R73" s="8">
        <f t="shared" si="11"/>
        <v>0</v>
      </c>
      <c r="S73" s="9">
        <f t="shared" si="11"/>
        <v>0</v>
      </c>
    </row>
    <row r="74" spans="1:19" x14ac:dyDescent="0.3">
      <c r="A74" s="7" t="s">
        <v>55</v>
      </c>
      <c r="B74" s="8">
        <v>17</v>
      </c>
      <c r="C74" s="8">
        <v>10.1</v>
      </c>
      <c r="D74" s="8">
        <v>7.2</v>
      </c>
      <c r="E74" s="8">
        <v>4</v>
      </c>
      <c r="F74" s="8">
        <v>3</v>
      </c>
      <c r="G74" s="8">
        <v>1.8</v>
      </c>
      <c r="H74" s="8">
        <v>0.5</v>
      </c>
      <c r="I74" s="9">
        <v>149</v>
      </c>
      <c r="J74" s="10"/>
      <c r="L74" s="8">
        <f t="shared" si="11"/>
        <v>0</v>
      </c>
      <c r="M74" s="8">
        <f t="shared" si="11"/>
        <v>0</v>
      </c>
      <c r="N74" s="8">
        <f t="shared" si="11"/>
        <v>0</v>
      </c>
      <c r="O74" s="8">
        <f t="shared" si="11"/>
        <v>0</v>
      </c>
      <c r="P74" s="8">
        <f t="shared" si="11"/>
        <v>0</v>
      </c>
      <c r="Q74" s="8">
        <f t="shared" si="11"/>
        <v>0</v>
      </c>
      <c r="R74" s="8">
        <f t="shared" si="11"/>
        <v>0</v>
      </c>
      <c r="S74" s="9">
        <f t="shared" si="11"/>
        <v>0</v>
      </c>
    </row>
    <row r="75" spans="1:19" x14ac:dyDescent="0.3">
      <c r="A75" s="7" t="s">
        <v>56</v>
      </c>
      <c r="B75" s="8">
        <v>15</v>
      </c>
      <c r="C75" s="8">
        <v>9.6</v>
      </c>
      <c r="D75" s="8">
        <v>4.8</v>
      </c>
      <c r="E75" s="8">
        <v>3</v>
      </c>
      <c r="F75" s="8">
        <v>1.95</v>
      </c>
      <c r="G75" s="8">
        <v>2.7</v>
      </c>
      <c r="H75" s="8">
        <v>0.435</v>
      </c>
      <c r="I75" s="9">
        <v>130.5</v>
      </c>
      <c r="J75" s="10"/>
      <c r="L75" s="8">
        <f t="shared" si="11"/>
        <v>0</v>
      </c>
      <c r="M75" s="8">
        <f t="shared" si="11"/>
        <v>0</v>
      </c>
      <c r="N75" s="8">
        <f t="shared" si="11"/>
        <v>0</v>
      </c>
      <c r="O75" s="8">
        <f t="shared" si="11"/>
        <v>0</v>
      </c>
      <c r="P75" s="8">
        <f t="shared" si="11"/>
        <v>0</v>
      </c>
      <c r="Q75" s="8">
        <f t="shared" si="11"/>
        <v>0</v>
      </c>
      <c r="R75" s="8">
        <f t="shared" si="11"/>
        <v>0</v>
      </c>
      <c r="S75" s="9">
        <f t="shared" si="11"/>
        <v>0</v>
      </c>
    </row>
    <row r="76" spans="1:19" x14ac:dyDescent="0.3">
      <c r="A76" s="7" t="s">
        <v>67</v>
      </c>
      <c r="B76" s="8">
        <v>10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0.13</v>
      </c>
      <c r="I76" s="9">
        <v>40</v>
      </c>
      <c r="J76" s="10"/>
      <c r="L76" s="8">
        <f t="shared" si="11"/>
        <v>0</v>
      </c>
      <c r="M76" s="8">
        <f t="shared" si="11"/>
        <v>0</v>
      </c>
      <c r="N76" s="8">
        <f t="shared" si="11"/>
        <v>0</v>
      </c>
      <c r="O76" s="8">
        <f t="shared" si="11"/>
        <v>0</v>
      </c>
      <c r="P76" s="8">
        <f t="shared" si="11"/>
        <v>0</v>
      </c>
      <c r="Q76" s="8">
        <f t="shared" si="11"/>
        <v>0</v>
      </c>
      <c r="R76" s="8">
        <f t="shared" si="11"/>
        <v>0</v>
      </c>
      <c r="S76" s="9">
        <f t="shared" si="11"/>
        <v>0</v>
      </c>
    </row>
    <row r="77" spans="1:19" x14ac:dyDescent="0.3">
      <c r="A77" s="7" t="s">
        <v>139</v>
      </c>
      <c r="B77" s="8">
        <v>1.8</v>
      </c>
      <c r="C77" s="8">
        <v>0.6</v>
      </c>
      <c r="D77" s="8">
        <v>0</v>
      </c>
      <c r="E77" s="8">
        <v>0</v>
      </c>
      <c r="F77" s="8">
        <v>0</v>
      </c>
      <c r="G77" s="8">
        <v>0</v>
      </c>
      <c r="H77" s="8">
        <v>0.14000000000000001</v>
      </c>
      <c r="I77" s="9">
        <v>9</v>
      </c>
      <c r="J77" s="10"/>
      <c r="L77" s="8">
        <f t="shared" si="11"/>
        <v>0</v>
      </c>
      <c r="M77" s="8">
        <f t="shared" si="11"/>
        <v>0</v>
      </c>
      <c r="N77" s="8">
        <f t="shared" si="11"/>
        <v>0</v>
      </c>
      <c r="O77" s="8">
        <f t="shared" si="11"/>
        <v>0</v>
      </c>
      <c r="P77" s="8">
        <f t="shared" si="11"/>
        <v>0</v>
      </c>
      <c r="Q77" s="8">
        <f t="shared" si="11"/>
        <v>0</v>
      </c>
      <c r="R77" s="8">
        <f t="shared" si="11"/>
        <v>0</v>
      </c>
      <c r="S77" s="9">
        <f t="shared" si="11"/>
        <v>0</v>
      </c>
    </row>
    <row r="78" spans="1:19" ht="24" x14ac:dyDescent="0.3">
      <c r="A78" s="7" t="s">
        <v>69</v>
      </c>
      <c r="B78" s="8">
        <v>27</v>
      </c>
      <c r="C78" s="8">
        <v>21</v>
      </c>
      <c r="D78" s="8">
        <v>11</v>
      </c>
      <c r="E78" s="8">
        <v>9.1999999999999993</v>
      </c>
      <c r="F78" s="8">
        <v>2.2000000000000002</v>
      </c>
      <c r="G78" s="8">
        <v>5.3</v>
      </c>
      <c r="H78" s="8">
        <v>2.8</v>
      </c>
      <c r="I78" s="9">
        <v>288</v>
      </c>
      <c r="J78" s="10"/>
      <c r="L78" s="8">
        <f t="shared" si="11"/>
        <v>0</v>
      </c>
      <c r="M78" s="8">
        <f t="shared" si="11"/>
        <v>0</v>
      </c>
      <c r="N78" s="8">
        <f t="shared" si="11"/>
        <v>0</v>
      </c>
      <c r="O78" s="8">
        <f t="shared" si="11"/>
        <v>0</v>
      </c>
      <c r="P78" s="8">
        <f t="shared" si="11"/>
        <v>0</v>
      </c>
      <c r="Q78" s="8">
        <f t="shared" si="11"/>
        <v>0</v>
      </c>
      <c r="R78" s="8">
        <f t="shared" si="11"/>
        <v>0</v>
      </c>
      <c r="S78" s="9">
        <f t="shared" si="11"/>
        <v>0</v>
      </c>
    </row>
    <row r="79" spans="1:19" x14ac:dyDescent="0.3">
      <c r="A79" s="7"/>
      <c r="B79" s="8"/>
      <c r="C79" s="8"/>
      <c r="D79" s="8"/>
      <c r="E79" s="8"/>
      <c r="F79" s="8"/>
      <c r="G79" s="8"/>
      <c r="H79" s="8"/>
      <c r="I79" s="9"/>
      <c r="J79" s="10"/>
      <c r="L79" s="8">
        <f t="shared" si="11"/>
        <v>0</v>
      </c>
      <c r="M79" s="8">
        <f t="shared" si="11"/>
        <v>0</v>
      </c>
      <c r="N79" s="8">
        <f t="shared" si="11"/>
        <v>0</v>
      </c>
      <c r="O79" s="8">
        <f t="shared" si="11"/>
        <v>0</v>
      </c>
      <c r="P79" s="8">
        <f t="shared" si="11"/>
        <v>0</v>
      </c>
      <c r="Q79" s="8">
        <f t="shared" si="11"/>
        <v>0</v>
      </c>
      <c r="R79" s="8">
        <f t="shared" si="11"/>
        <v>0</v>
      </c>
      <c r="S79" s="9">
        <f t="shared" si="11"/>
        <v>0</v>
      </c>
    </row>
    <row r="81" spans="9:22" x14ac:dyDescent="0.3">
      <c r="K81" s="14" t="s">
        <v>70</v>
      </c>
      <c r="L81" s="2" t="s">
        <v>1</v>
      </c>
      <c r="M81" s="2" t="s">
        <v>2</v>
      </c>
      <c r="N81" s="2" t="s">
        <v>3</v>
      </c>
      <c r="O81" s="2" t="s">
        <v>4</v>
      </c>
      <c r="P81" s="2" t="s">
        <v>5</v>
      </c>
      <c r="Q81" s="2" t="s">
        <v>6</v>
      </c>
      <c r="R81" s="2" t="s">
        <v>7</v>
      </c>
      <c r="S81" s="3" t="s">
        <v>8</v>
      </c>
      <c r="T81" s="15" t="s">
        <v>71</v>
      </c>
      <c r="U81" s="16"/>
      <c r="V81" s="16"/>
    </row>
    <row r="82" spans="9:22" x14ac:dyDescent="0.3">
      <c r="L82">
        <f>SUM(L3:L79)</f>
        <v>99.59999999999998</v>
      </c>
      <c r="M82">
        <f t="shared" ref="L82:S82" si="12">SUM(M3:M79)</f>
        <v>115.17</v>
      </c>
      <c r="N82">
        <f t="shared" si="12"/>
        <v>16.094999999999999</v>
      </c>
      <c r="O82">
        <f t="shared" si="12"/>
        <v>74.97</v>
      </c>
      <c r="P82">
        <f t="shared" si="12"/>
        <v>16.315000000000001</v>
      </c>
      <c r="Q82">
        <f t="shared" si="12"/>
        <v>25.93</v>
      </c>
      <c r="R82">
        <f t="shared" si="12"/>
        <v>4.5590000000000002</v>
      </c>
      <c r="S82">
        <f t="shared" si="12"/>
        <v>1616.0500000000002</v>
      </c>
      <c r="T82" s="17">
        <f>SUM(L82:R82)*0.1</f>
        <v>35.2639</v>
      </c>
      <c r="U82" s="18">
        <f>T82/2</f>
        <v>17.63195</v>
      </c>
      <c r="V82" t="s">
        <v>72</v>
      </c>
    </row>
    <row r="84" spans="9:22" ht="14.55" customHeight="1" x14ac:dyDescent="0.3">
      <c r="I84" s="33" t="s">
        <v>73</v>
      </c>
      <c r="J84" s="33"/>
      <c r="K84" t="s">
        <v>74</v>
      </c>
      <c r="L84" s="19" t="s">
        <v>75</v>
      </c>
      <c r="M84" s="19" t="s">
        <v>76</v>
      </c>
      <c r="N84" s="20" t="s">
        <v>77</v>
      </c>
      <c r="O84" s="19" t="s">
        <v>78</v>
      </c>
      <c r="P84" s="20" t="s">
        <v>79</v>
      </c>
      <c r="Q84" s="19" t="s">
        <v>80</v>
      </c>
      <c r="R84" s="20" t="s">
        <v>81</v>
      </c>
      <c r="S84" s="19" t="s">
        <v>82</v>
      </c>
    </row>
    <row r="85" spans="9:22" x14ac:dyDescent="0.3">
      <c r="I85" s="33"/>
      <c r="J85" s="33"/>
      <c r="K85" t="s">
        <v>83</v>
      </c>
      <c r="L85" t="s">
        <v>84</v>
      </c>
      <c r="M85" t="s">
        <v>85</v>
      </c>
      <c r="N85" s="21" t="s">
        <v>86</v>
      </c>
      <c r="O85" t="s">
        <v>87</v>
      </c>
      <c r="P85" s="21" t="s">
        <v>88</v>
      </c>
      <c r="Q85" t="s">
        <v>89</v>
      </c>
      <c r="R85" s="20" t="s">
        <v>81</v>
      </c>
      <c r="S85" t="s">
        <v>90</v>
      </c>
    </row>
    <row r="86" spans="9:22" x14ac:dyDescent="0.3">
      <c r="I86" s="33"/>
      <c r="J86" s="33"/>
      <c r="K86" t="s">
        <v>91</v>
      </c>
      <c r="L86" t="s">
        <v>92</v>
      </c>
      <c r="M86" t="s">
        <v>93</v>
      </c>
      <c r="N86" s="21" t="s">
        <v>94</v>
      </c>
      <c r="O86" t="s">
        <v>95</v>
      </c>
      <c r="P86" s="21" t="s">
        <v>96</v>
      </c>
      <c r="Q86" t="s">
        <v>89</v>
      </c>
      <c r="R86" s="20" t="s">
        <v>81</v>
      </c>
      <c r="S86" t="s">
        <v>97</v>
      </c>
    </row>
    <row r="87" spans="9:22" x14ac:dyDescent="0.3">
      <c r="N87" t="s">
        <v>98</v>
      </c>
    </row>
    <row r="88" spans="9:22" x14ac:dyDescent="0.3">
      <c r="I88" t="s">
        <v>99</v>
      </c>
    </row>
  </sheetData>
  <mergeCells count="2">
    <mergeCell ref="J1:K1"/>
    <mergeCell ref="I84:J8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88BF5-CC74-4CD1-8187-7ABF4FD424E9}">
  <dimension ref="A1:V96"/>
  <sheetViews>
    <sheetView workbookViewId="0">
      <pane ySplit="1" topLeftCell="A81" activePane="bottomLeft" state="frozen"/>
      <selection pane="bottomLeft" activeCell="U87" sqref="U87"/>
    </sheetView>
  </sheetViews>
  <sheetFormatPr defaultRowHeight="14.4" x14ac:dyDescent="0.3"/>
  <cols>
    <col min="1" max="1" width="21.5546875" customWidth="1"/>
    <col min="2" max="2" width="7.5546875" customWidth="1"/>
    <col min="3" max="3" width="6.77734375" customWidth="1"/>
    <col min="4" max="4" width="7.44140625" customWidth="1"/>
    <col min="5" max="5" width="6.5546875" customWidth="1"/>
    <col min="6" max="6" width="7.21875" customWidth="1"/>
    <col min="7" max="8" width="5.5546875" customWidth="1"/>
    <col min="9" max="9" width="7.5546875" customWidth="1"/>
    <col min="10" max="10" width="6.77734375" customWidth="1"/>
    <col min="11" max="11" width="7.21875" customWidth="1"/>
    <col min="12" max="12" width="7.44140625" customWidth="1"/>
    <col min="13" max="13" width="7" customWidth="1"/>
    <col min="14" max="14" width="8.44140625" customWidth="1"/>
    <col min="15" max="15" width="7.21875" customWidth="1"/>
    <col min="16" max="16" width="6.5546875" customWidth="1"/>
    <col min="17" max="17" width="6.21875" customWidth="1"/>
    <col min="18" max="18" width="5" customWidth="1"/>
    <col min="19" max="19" width="7.44140625" customWidth="1"/>
    <col min="20" max="20" width="6.88671875" customWidth="1"/>
    <col min="21" max="21" width="6.44140625" customWidth="1"/>
    <col min="22" max="22" width="9.109375" customWidth="1"/>
  </cols>
  <sheetData>
    <row r="1" spans="1:19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1" t="s">
        <v>9</v>
      </c>
      <c r="K1" s="32"/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  <c r="Q1" s="2" t="s">
        <v>6</v>
      </c>
      <c r="R1" s="2" t="s">
        <v>7</v>
      </c>
      <c r="S1" s="3" t="s">
        <v>8</v>
      </c>
    </row>
    <row r="2" spans="1:19" x14ac:dyDescent="0.3">
      <c r="A2" s="4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/>
      <c r="K2" s="6"/>
      <c r="L2" s="5">
        <f>B2*$J2</f>
        <v>0</v>
      </c>
      <c r="M2" s="5">
        <f t="shared" ref="M2:S10" si="0">C2*$J2</f>
        <v>0</v>
      </c>
      <c r="N2" s="5">
        <f t="shared" si="0"/>
        <v>0</v>
      </c>
      <c r="O2" s="5">
        <f t="shared" si="0"/>
        <v>0</v>
      </c>
      <c r="P2" s="5">
        <f t="shared" si="0"/>
        <v>0</v>
      </c>
      <c r="Q2" s="5">
        <f t="shared" si="0"/>
        <v>0</v>
      </c>
      <c r="R2" s="5">
        <f t="shared" si="0"/>
        <v>0</v>
      </c>
      <c r="S2" s="5">
        <f t="shared" si="0"/>
        <v>0</v>
      </c>
    </row>
    <row r="3" spans="1:19" x14ac:dyDescent="0.3">
      <c r="A3" s="7" t="s">
        <v>11</v>
      </c>
      <c r="B3" s="8">
        <v>0</v>
      </c>
      <c r="C3" s="8">
        <v>0</v>
      </c>
      <c r="D3" s="8">
        <v>0</v>
      </c>
      <c r="E3" s="8">
        <v>15</v>
      </c>
      <c r="F3" s="8">
        <v>2</v>
      </c>
      <c r="G3" s="8">
        <v>0</v>
      </c>
      <c r="H3" s="8">
        <v>0</v>
      </c>
      <c r="I3" s="9">
        <v>125</v>
      </c>
      <c r="J3" s="10"/>
      <c r="L3" s="8">
        <f t="shared" ref="L3:S6" si="1">B3*$J3</f>
        <v>0</v>
      </c>
      <c r="M3" s="8">
        <f t="shared" si="1"/>
        <v>0</v>
      </c>
      <c r="N3" s="8">
        <f t="shared" si="1"/>
        <v>0</v>
      </c>
      <c r="O3" s="8">
        <f t="shared" si="1"/>
        <v>0</v>
      </c>
      <c r="P3" s="8">
        <f t="shared" si="1"/>
        <v>0</v>
      </c>
      <c r="Q3" s="8">
        <f t="shared" si="1"/>
        <v>0</v>
      </c>
      <c r="R3" s="8">
        <f t="shared" si="1"/>
        <v>0</v>
      </c>
      <c r="S3" s="9">
        <f t="shared" si="1"/>
        <v>0</v>
      </c>
    </row>
    <row r="4" spans="1:19" x14ac:dyDescent="0.3">
      <c r="A4" s="7" t="s">
        <v>12</v>
      </c>
      <c r="B4" s="8">
        <v>0</v>
      </c>
      <c r="C4" s="8">
        <v>9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9">
        <v>29</v>
      </c>
      <c r="J4" s="10"/>
      <c r="L4" s="8">
        <f>B4*$J4</f>
        <v>0</v>
      </c>
      <c r="M4" s="8">
        <f t="shared" si="1"/>
        <v>0</v>
      </c>
      <c r="N4" s="8">
        <f t="shared" si="1"/>
        <v>0</v>
      </c>
      <c r="O4" s="8">
        <f t="shared" si="1"/>
        <v>0</v>
      </c>
      <c r="P4" s="8">
        <f t="shared" si="1"/>
        <v>0</v>
      </c>
      <c r="Q4" s="8">
        <f t="shared" si="1"/>
        <v>0</v>
      </c>
      <c r="R4" s="8">
        <f t="shared" si="1"/>
        <v>0</v>
      </c>
      <c r="S4" s="9">
        <f t="shared" si="1"/>
        <v>0</v>
      </c>
    </row>
    <row r="5" spans="1:19" x14ac:dyDescent="0.3">
      <c r="A5" s="7" t="s">
        <v>13</v>
      </c>
      <c r="B5" s="8">
        <v>0.8</v>
      </c>
      <c r="C5" s="8">
        <v>4</v>
      </c>
      <c r="D5" s="8">
        <v>1</v>
      </c>
      <c r="E5" s="8">
        <v>1</v>
      </c>
      <c r="F5" s="8">
        <v>0.1</v>
      </c>
      <c r="G5" s="8">
        <v>1</v>
      </c>
      <c r="H5" s="8">
        <v>0.4</v>
      </c>
      <c r="I5" s="9">
        <v>27</v>
      </c>
      <c r="J5" s="10">
        <v>2</v>
      </c>
      <c r="L5" s="8">
        <f>B5*$J5</f>
        <v>1.6</v>
      </c>
      <c r="M5" s="8">
        <f t="shared" si="1"/>
        <v>8</v>
      </c>
      <c r="N5" s="8">
        <f t="shared" si="1"/>
        <v>2</v>
      </c>
      <c r="O5" s="8">
        <f t="shared" si="1"/>
        <v>2</v>
      </c>
      <c r="P5" s="8">
        <f t="shared" si="1"/>
        <v>0.2</v>
      </c>
      <c r="Q5" s="8">
        <f t="shared" si="1"/>
        <v>2</v>
      </c>
      <c r="R5" s="8">
        <f t="shared" si="1"/>
        <v>0.8</v>
      </c>
      <c r="S5" s="9">
        <f t="shared" si="1"/>
        <v>54</v>
      </c>
    </row>
    <row r="6" spans="1:19" x14ac:dyDescent="0.3">
      <c r="A6" s="7" t="s">
        <v>13</v>
      </c>
      <c r="B6" s="8">
        <v>0.8</v>
      </c>
      <c r="C6" s="8">
        <v>4</v>
      </c>
      <c r="D6" s="8">
        <v>1</v>
      </c>
      <c r="E6" s="8">
        <v>1</v>
      </c>
      <c r="F6" s="8">
        <v>0.1</v>
      </c>
      <c r="G6" s="8">
        <v>1</v>
      </c>
      <c r="H6" s="8">
        <v>0.4</v>
      </c>
      <c r="I6" s="9">
        <v>27</v>
      </c>
      <c r="J6" s="10"/>
      <c r="L6" s="8">
        <f>B6*$J6</f>
        <v>0</v>
      </c>
      <c r="M6" s="8">
        <f t="shared" si="1"/>
        <v>0</v>
      </c>
      <c r="N6" s="8">
        <f t="shared" si="1"/>
        <v>0</v>
      </c>
      <c r="O6" s="8">
        <f t="shared" si="1"/>
        <v>0</v>
      </c>
      <c r="P6" s="8">
        <f t="shared" si="1"/>
        <v>0</v>
      </c>
      <c r="Q6" s="8">
        <f t="shared" si="1"/>
        <v>0</v>
      </c>
      <c r="R6" s="8">
        <f t="shared" si="1"/>
        <v>0</v>
      </c>
      <c r="S6" s="9">
        <f t="shared" si="1"/>
        <v>0</v>
      </c>
    </row>
    <row r="7" spans="1:19" ht="24" x14ac:dyDescent="0.3">
      <c r="A7" s="7" t="s">
        <v>14</v>
      </c>
      <c r="B7" s="8">
        <v>0.75</v>
      </c>
      <c r="C7" s="8">
        <v>3.25</v>
      </c>
      <c r="D7" s="8">
        <v>0</v>
      </c>
      <c r="E7" s="8">
        <v>0.2</v>
      </c>
      <c r="F7" s="8">
        <v>0</v>
      </c>
      <c r="G7" s="8">
        <v>1</v>
      </c>
      <c r="H7" s="8">
        <v>0.01</v>
      </c>
      <c r="I7" s="9">
        <v>15</v>
      </c>
      <c r="J7" s="10">
        <v>0.8</v>
      </c>
      <c r="L7" s="8">
        <f>B7*$J7</f>
        <v>0.60000000000000009</v>
      </c>
      <c r="M7" s="8">
        <f t="shared" si="0"/>
        <v>2.6</v>
      </c>
      <c r="N7" s="8">
        <f t="shared" si="0"/>
        <v>0</v>
      </c>
      <c r="O7" s="8">
        <f t="shared" si="0"/>
        <v>0.16000000000000003</v>
      </c>
      <c r="P7" s="8">
        <f t="shared" si="0"/>
        <v>0</v>
      </c>
      <c r="Q7" s="8">
        <f t="shared" si="0"/>
        <v>0.8</v>
      </c>
      <c r="R7" s="8">
        <f t="shared" si="0"/>
        <v>8.0000000000000002E-3</v>
      </c>
      <c r="S7" s="9">
        <f t="shared" si="0"/>
        <v>12</v>
      </c>
    </row>
    <row r="8" spans="1:19" x14ac:dyDescent="0.3">
      <c r="A8" s="7" t="s">
        <v>15</v>
      </c>
      <c r="B8" s="8">
        <v>0.36</v>
      </c>
      <c r="C8" s="8">
        <v>7.0000000000000007E-2</v>
      </c>
      <c r="D8" s="8">
        <v>0</v>
      </c>
      <c r="E8" s="8">
        <v>0.08</v>
      </c>
      <c r="F8" s="8"/>
      <c r="G8" s="8">
        <v>0.21</v>
      </c>
      <c r="H8" s="8">
        <v>1.2999999999999999E-2</v>
      </c>
      <c r="I8" s="9">
        <v>11.8</v>
      </c>
      <c r="J8" s="10">
        <v>1</v>
      </c>
      <c r="L8" s="8">
        <f t="shared" ref="L8:S24" si="2">B8*$J8</f>
        <v>0.36</v>
      </c>
      <c r="M8" s="8">
        <f t="shared" si="0"/>
        <v>7.0000000000000007E-2</v>
      </c>
      <c r="N8" s="8">
        <f t="shared" si="0"/>
        <v>0</v>
      </c>
      <c r="O8" s="8">
        <f t="shared" si="0"/>
        <v>0.08</v>
      </c>
      <c r="P8" s="8">
        <f t="shared" si="0"/>
        <v>0</v>
      </c>
      <c r="Q8" s="8">
        <f t="shared" si="0"/>
        <v>0.21</v>
      </c>
      <c r="R8" s="8">
        <f t="shared" si="0"/>
        <v>1.2999999999999999E-2</v>
      </c>
      <c r="S8" s="9">
        <f t="shared" si="0"/>
        <v>11.8</v>
      </c>
    </row>
    <row r="9" spans="1:19" x14ac:dyDescent="0.3">
      <c r="A9" s="7" t="s">
        <v>28</v>
      </c>
      <c r="B9" s="8">
        <v>0.67</v>
      </c>
      <c r="C9" s="8">
        <v>0.34</v>
      </c>
      <c r="D9" s="8">
        <v>0</v>
      </c>
      <c r="E9" s="8">
        <v>0.18</v>
      </c>
      <c r="F9" s="8">
        <v>0</v>
      </c>
      <c r="G9" s="8">
        <v>0.52</v>
      </c>
      <c r="H9" s="8">
        <v>0.01</v>
      </c>
      <c r="I9" s="9">
        <v>5.6</v>
      </c>
      <c r="J9" s="10">
        <v>1</v>
      </c>
      <c r="L9" s="8">
        <f t="shared" si="2"/>
        <v>0.67</v>
      </c>
      <c r="M9" s="8">
        <f t="shared" si="0"/>
        <v>0.34</v>
      </c>
      <c r="N9" s="8">
        <f t="shared" si="0"/>
        <v>0</v>
      </c>
      <c r="O9" s="8">
        <f t="shared" si="0"/>
        <v>0.18</v>
      </c>
      <c r="P9" s="8">
        <f t="shared" si="0"/>
        <v>0</v>
      </c>
      <c r="Q9" s="8">
        <f t="shared" si="0"/>
        <v>0.52</v>
      </c>
      <c r="R9" s="8">
        <f t="shared" si="0"/>
        <v>0.01</v>
      </c>
      <c r="S9" s="9">
        <f t="shared" si="0"/>
        <v>5.6</v>
      </c>
    </row>
    <row r="10" spans="1:19" x14ac:dyDescent="0.3">
      <c r="A10" s="7" t="s">
        <v>17</v>
      </c>
      <c r="B10" s="8">
        <v>0.7</v>
      </c>
      <c r="C10" s="8">
        <v>14.5</v>
      </c>
      <c r="D10" s="8">
        <v>0</v>
      </c>
      <c r="E10" s="8">
        <v>0.3</v>
      </c>
      <c r="F10" s="8">
        <v>0</v>
      </c>
      <c r="G10" s="8">
        <v>2.4</v>
      </c>
      <c r="H10" s="8">
        <v>0.01</v>
      </c>
      <c r="I10" s="9">
        <v>57</v>
      </c>
      <c r="J10" s="10"/>
      <c r="L10" s="8">
        <f t="shared" si="2"/>
        <v>0</v>
      </c>
      <c r="M10" s="8">
        <f t="shared" si="0"/>
        <v>0</v>
      </c>
      <c r="N10" s="8">
        <f t="shared" si="0"/>
        <v>0</v>
      </c>
      <c r="O10" s="8">
        <f t="shared" si="0"/>
        <v>0</v>
      </c>
      <c r="P10" s="8">
        <f t="shared" si="0"/>
        <v>0</v>
      </c>
      <c r="Q10" s="8">
        <f t="shared" si="0"/>
        <v>0</v>
      </c>
      <c r="R10" s="8">
        <f t="shared" si="0"/>
        <v>0</v>
      </c>
      <c r="S10" s="9">
        <f t="shared" si="0"/>
        <v>0</v>
      </c>
    </row>
    <row r="11" spans="1:19" ht="24" x14ac:dyDescent="0.3">
      <c r="A11" s="11" t="s">
        <v>18</v>
      </c>
      <c r="B11" s="8">
        <v>1.6</v>
      </c>
      <c r="C11" s="8">
        <v>6.2</v>
      </c>
      <c r="D11" s="8">
        <v>0</v>
      </c>
      <c r="E11" s="8">
        <v>3.1</v>
      </c>
      <c r="F11" s="8">
        <v>0.3</v>
      </c>
      <c r="G11" s="8">
        <v>3.7</v>
      </c>
      <c r="H11" s="8">
        <v>5.0000000000000001E-3</v>
      </c>
      <c r="I11" s="9">
        <v>44</v>
      </c>
      <c r="J11" s="10">
        <v>2</v>
      </c>
      <c r="L11" s="8">
        <f t="shared" si="2"/>
        <v>3.2</v>
      </c>
      <c r="M11" s="8">
        <f t="shared" si="2"/>
        <v>12.4</v>
      </c>
      <c r="N11" s="8">
        <f t="shared" si="2"/>
        <v>0</v>
      </c>
      <c r="O11" s="8">
        <f t="shared" si="2"/>
        <v>6.2</v>
      </c>
      <c r="P11" s="8">
        <f t="shared" si="2"/>
        <v>0.6</v>
      </c>
      <c r="Q11" s="8">
        <f t="shared" si="2"/>
        <v>7.4</v>
      </c>
      <c r="R11" s="8">
        <f t="shared" si="2"/>
        <v>0.01</v>
      </c>
      <c r="S11" s="9">
        <f t="shared" si="2"/>
        <v>88</v>
      </c>
    </row>
    <row r="12" spans="1:19" ht="24" x14ac:dyDescent="0.3">
      <c r="A12" s="7" t="s">
        <v>19</v>
      </c>
      <c r="B12" s="8">
        <v>2.0699999999999998</v>
      </c>
      <c r="C12" s="8">
        <v>4.74</v>
      </c>
      <c r="D12" s="8">
        <v>0.08</v>
      </c>
      <c r="E12" s="8">
        <v>0.96</v>
      </c>
      <c r="F12" s="8">
        <v>0.15</v>
      </c>
      <c r="G12" s="8">
        <v>0.96</v>
      </c>
      <c r="H12" s="8">
        <v>0.05</v>
      </c>
      <c r="I12" s="9">
        <v>37.799999999999997</v>
      </c>
      <c r="J12" s="10"/>
      <c r="L12" s="8">
        <f t="shared" si="2"/>
        <v>0</v>
      </c>
      <c r="M12" s="8">
        <f t="shared" si="2"/>
        <v>0</v>
      </c>
      <c r="N12" s="8">
        <f t="shared" si="2"/>
        <v>0</v>
      </c>
      <c r="O12" s="8">
        <f t="shared" si="2"/>
        <v>0</v>
      </c>
      <c r="P12" s="8">
        <f t="shared" si="2"/>
        <v>0</v>
      </c>
      <c r="Q12" s="8">
        <f t="shared" si="2"/>
        <v>0</v>
      </c>
      <c r="R12" s="8">
        <f t="shared" si="2"/>
        <v>0</v>
      </c>
      <c r="S12" s="9">
        <f t="shared" si="2"/>
        <v>0</v>
      </c>
    </row>
    <row r="13" spans="1:19" x14ac:dyDescent="0.3">
      <c r="A13" s="7" t="s">
        <v>20</v>
      </c>
      <c r="B13" s="8">
        <v>1.1000000000000001</v>
      </c>
      <c r="C13" s="8">
        <v>15</v>
      </c>
      <c r="D13" s="8">
        <v>0</v>
      </c>
      <c r="E13" s="8">
        <v>0.5</v>
      </c>
      <c r="F13" s="8">
        <v>0</v>
      </c>
      <c r="G13" s="8">
        <v>3</v>
      </c>
      <c r="H13" s="8">
        <v>3.0000000000000001E-3</v>
      </c>
      <c r="I13" s="9">
        <v>61</v>
      </c>
      <c r="J13" s="10"/>
      <c r="L13" s="8">
        <f t="shared" si="2"/>
        <v>0</v>
      </c>
      <c r="M13" s="8">
        <f t="shared" si="2"/>
        <v>0</v>
      </c>
      <c r="N13" s="8">
        <f t="shared" si="2"/>
        <v>0</v>
      </c>
      <c r="O13" s="8">
        <f t="shared" si="2"/>
        <v>0</v>
      </c>
      <c r="P13" s="8">
        <f t="shared" si="2"/>
        <v>0</v>
      </c>
      <c r="Q13" s="8">
        <f t="shared" si="2"/>
        <v>0</v>
      </c>
      <c r="R13" s="8">
        <f t="shared" si="2"/>
        <v>0</v>
      </c>
      <c r="S13" s="9">
        <f t="shared" si="2"/>
        <v>0</v>
      </c>
    </row>
    <row r="14" spans="1:19" x14ac:dyDescent="0.3">
      <c r="A14" s="7" t="s">
        <v>21</v>
      </c>
      <c r="B14" s="8">
        <v>6.5</v>
      </c>
      <c r="C14" s="8">
        <v>0.6</v>
      </c>
      <c r="D14" s="8">
        <v>0.6</v>
      </c>
      <c r="E14" s="8">
        <v>5.9</v>
      </c>
      <c r="F14" s="8">
        <v>1.8</v>
      </c>
      <c r="G14" s="8">
        <v>0</v>
      </c>
      <c r="H14" s="8">
        <v>0.1</v>
      </c>
      <c r="I14" s="9">
        <v>84</v>
      </c>
      <c r="J14" s="10">
        <v>2</v>
      </c>
      <c r="L14" s="8">
        <f t="shared" si="2"/>
        <v>13</v>
      </c>
      <c r="M14" s="8">
        <f t="shared" si="2"/>
        <v>1.2</v>
      </c>
      <c r="N14" s="8">
        <f t="shared" si="2"/>
        <v>1.2</v>
      </c>
      <c r="O14" s="8">
        <f t="shared" si="2"/>
        <v>11.8</v>
      </c>
      <c r="P14" s="8">
        <f t="shared" si="2"/>
        <v>3.6</v>
      </c>
      <c r="Q14" s="8">
        <f t="shared" si="2"/>
        <v>0</v>
      </c>
      <c r="R14" s="8">
        <f t="shared" si="2"/>
        <v>0.2</v>
      </c>
      <c r="S14" s="9">
        <f t="shared" si="2"/>
        <v>168</v>
      </c>
    </row>
    <row r="15" spans="1:19" x14ac:dyDescent="0.3">
      <c r="A15" s="4" t="s">
        <v>22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/>
      <c r="K15" s="6"/>
      <c r="L15" s="5">
        <f>B15*$J15</f>
        <v>0</v>
      </c>
      <c r="M15" s="5">
        <f t="shared" si="2"/>
        <v>0</v>
      </c>
      <c r="N15" s="5">
        <f t="shared" si="2"/>
        <v>0</v>
      </c>
      <c r="O15" s="5">
        <f t="shared" si="2"/>
        <v>0</v>
      </c>
      <c r="P15" s="5">
        <f t="shared" si="2"/>
        <v>0</v>
      </c>
      <c r="Q15" s="5">
        <f t="shared" si="2"/>
        <v>0</v>
      </c>
      <c r="R15" s="5">
        <f t="shared" si="2"/>
        <v>0</v>
      </c>
      <c r="S15" s="5">
        <f t="shared" si="2"/>
        <v>0</v>
      </c>
    </row>
    <row r="16" spans="1:19" ht="24" x14ac:dyDescent="0.3">
      <c r="A16" s="7" t="s">
        <v>23</v>
      </c>
      <c r="B16" s="8">
        <v>1.9</v>
      </c>
      <c r="C16" s="8">
        <v>1.3</v>
      </c>
      <c r="D16" s="8">
        <v>0.95</v>
      </c>
      <c r="E16" s="8">
        <v>3.1</v>
      </c>
      <c r="F16" s="8">
        <v>0.03</v>
      </c>
      <c r="G16" s="8">
        <v>3.5</v>
      </c>
      <c r="H16" s="8">
        <v>1E-3</v>
      </c>
      <c r="I16" s="9">
        <v>47.7</v>
      </c>
      <c r="J16" s="10"/>
      <c r="L16" s="8">
        <f t="shared" si="2"/>
        <v>0</v>
      </c>
      <c r="M16" s="8">
        <f t="shared" si="2"/>
        <v>0</v>
      </c>
      <c r="N16" s="8">
        <f t="shared" si="2"/>
        <v>0</v>
      </c>
      <c r="O16" s="8">
        <f t="shared" si="2"/>
        <v>0</v>
      </c>
      <c r="P16" s="8">
        <f t="shared" si="2"/>
        <v>0</v>
      </c>
      <c r="Q16" s="8">
        <f t="shared" si="2"/>
        <v>0</v>
      </c>
      <c r="R16" s="8">
        <f t="shared" si="2"/>
        <v>0</v>
      </c>
      <c r="S16" s="9">
        <f t="shared" si="2"/>
        <v>0</v>
      </c>
    </row>
    <row r="17" spans="1:19" x14ac:dyDescent="0.3">
      <c r="A17" s="7" t="s">
        <v>21</v>
      </c>
      <c r="B17" s="8">
        <v>6.5</v>
      </c>
      <c r="C17" s="8">
        <v>0.6</v>
      </c>
      <c r="D17" s="8">
        <v>0.6</v>
      </c>
      <c r="E17" s="8">
        <v>5.9</v>
      </c>
      <c r="F17" s="8">
        <v>1.8</v>
      </c>
      <c r="G17" s="8">
        <v>0</v>
      </c>
      <c r="H17" s="8">
        <v>0.1</v>
      </c>
      <c r="I17" s="9">
        <v>84</v>
      </c>
      <c r="J17" s="10"/>
      <c r="L17" s="8">
        <f t="shared" si="2"/>
        <v>0</v>
      </c>
      <c r="M17" s="8">
        <f t="shared" si="2"/>
        <v>0</v>
      </c>
      <c r="N17" s="8">
        <f t="shared" si="2"/>
        <v>0</v>
      </c>
      <c r="O17" s="8">
        <f t="shared" si="2"/>
        <v>0</v>
      </c>
      <c r="P17" s="8">
        <f t="shared" si="2"/>
        <v>0</v>
      </c>
      <c r="Q17" s="8">
        <f t="shared" si="2"/>
        <v>0</v>
      </c>
      <c r="R17" s="8">
        <f t="shared" si="2"/>
        <v>0</v>
      </c>
      <c r="S17" s="9">
        <f t="shared" si="2"/>
        <v>0</v>
      </c>
    </row>
    <row r="18" spans="1:19" x14ac:dyDescent="0.3">
      <c r="A18" s="7" t="s">
        <v>24</v>
      </c>
      <c r="B18" s="8">
        <v>1.1000000000000001</v>
      </c>
      <c r="C18" s="8">
        <v>23</v>
      </c>
      <c r="D18" s="8">
        <v>0</v>
      </c>
      <c r="E18" s="8">
        <v>0.3</v>
      </c>
      <c r="F18" s="8">
        <v>0.1</v>
      </c>
      <c r="G18" s="8">
        <v>2.6</v>
      </c>
      <c r="H18" s="8">
        <v>1E-3</v>
      </c>
      <c r="I18" s="9">
        <v>89</v>
      </c>
      <c r="J18" s="10">
        <v>1</v>
      </c>
      <c r="L18" s="8">
        <f t="shared" si="2"/>
        <v>1.1000000000000001</v>
      </c>
      <c r="M18" s="8">
        <f t="shared" si="2"/>
        <v>23</v>
      </c>
      <c r="N18" s="8">
        <f t="shared" si="2"/>
        <v>0</v>
      </c>
      <c r="O18" s="8">
        <f t="shared" si="2"/>
        <v>0.3</v>
      </c>
      <c r="P18" s="8">
        <f t="shared" si="2"/>
        <v>0.1</v>
      </c>
      <c r="Q18" s="8">
        <f t="shared" si="2"/>
        <v>2.6</v>
      </c>
      <c r="R18" s="8">
        <f t="shared" si="2"/>
        <v>1E-3</v>
      </c>
      <c r="S18" s="9">
        <f t="shared" si="2"/>
        <v>89</v>
      </c>
    </row>
    <row r="19" spans="1:19" x14ac:dyDescent="0.3">
      <c r="A19" s="7" t="s">
        <v>25</v>
      </c>
      <c r="B19" s="8">
        <v>5.4</v>
      </c>
      <c r="C19" s="8">
        <v>0.3</v>
      </c>
      <c r="D19" s="8">
        <v>0.3</v>
      </c>
      <c r="E19" s="8">
        <v>0</v>
      </c>
      <c r="F19" s="8">
        <v>1.9</v>
      </c>
      <c r="G19" s="8">
        <v>0</v>
      </c>
      <c r="H19" s="8">
        <v>0.26</v>
      </c>
      <c r="I19" s="9">
        <v>47</v>
      </c>
      <c r="J19" s="10">
        <v>2</v>
      </c>
      <c r="L19" s="8">
        <f t="shared" si="2"/>
        <v>10.8</v>
      </c>
      <c r="M19" s="8">
        <f t="shared" si="2"/>
        <v>0.6</v>
      </c>
      <c r="N19" s="8">
        <f t="shared" si="2"/>
        <v>0.6</v>
      </c>
      <c r="O19" s="8">
        <f t="shared" si="2"/>
        <v>0</v>
      </c>
      <c r="P19" s="8">
        <f t="shared" si="2"/>
        <v>3.8</v>
      </c>
      <c r="Q19" s="8">
        <f t="shared" si="2"/>
        <v>0</v>
      </c>
      <c r="R19" s="8">
        <f t="shared" si="2"/>
        <v>0.52</v>
      </c>
      <c r="S19" s="9">
        <f t="shared" si="2"/>
        <v>94</v>
      </c>
    </row>
    <row r="20" spans="1:19" ht="24" x14ac:dyDescent="0.3">
      <c r="A20" s="7" t="s">
        <v>182</v>
      </c>
      <c r="B20" s="8">
        <v>20</v>
      </c>
      <c r="C20" s="8">
        <v>2.5</v>
      </c>
      <c r="D20" s="8">
        <v>1.6</v>
      </c>
      <c r="E20" s="8">
        <v>1.4</v>
      </c>
      <c r="F20" s="8">
        <v>1</v>
      </c>
      <c r="G20" s="8">
        <v>0</v>
      </c>
      <c r="H20" s="8">
        <v>0.31</v>
      </c>
      <c r="I20" s="9">
        <v>105</v>
      </c>
      <c r="J20" s="10">
        <v>1</v>
      </c>
      <c r="L20" s="8">
        <f t="shared" si="2"/>
        <v>20</v>
      </c>
      <c r="M20" s="8">
        <f t="shared" si="2"/>
        <v>2.5</v>
      </c>
      <c r="N20" s="8">
        <f t="shared" si="2"/>
        <v>1.6</v>
      </c>
      <c r="O20" s="8">
        <f t="shared" si="2"/>
        <v>1.4</v>
      </c>
      <c r="P20" s="8">
        <f t="shared" si="2"/>
        <v>1</v>
      </c>
      <c r="Q20" s="8">
        <f t="shared" si="2"/>
        <v>0</v>
      </c>
      <c r="R20" s="8">
        <f t="shared" si="2"/>
        <v>0.31</v>
      </c>
      <c r="S20" s="9">
        <f t="shared" si="2"/>
        <v>105</v>
      </c>
    </row>
    <row r="21" spans="1:19" x14ac:dyDescent="0.3">
      <c r="A21" s="4" t="s">
        <v>22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/>
      <c r="K21" s="6"/>
      <c r="L21" s="5">
        <f>B21*$J21</f>
        <v>0</v>
      </c>
      <c r="M21" s="5">
        <f t="shared" si="2"/>
        <v>0</v>
      </c>
      <c r="N21" s="5">
        <f t="shared" si="2"/>
        <v>0</v>
      </c>
      <c r="O21" s="5">
        <f t="shared" si="2"/>
        <v>0</v>
      </c>
      <c r="P21" s="5">
        <f t="shared" si="2"/>
        <v>0</v>
      </c>
      <c r="Q21" s="5">
        <f t="shared" si="2"/>
        <v>0</v>
      </c>
      <c r="R21" s="5">
        <f t="shared" si="2"/>
        <v>0</v>
      </c>
      <c r="S21" s="5">
        <f t="shared" si="2"/>
        <v>0</v>
      </c>
    </row>
    <row r="22" spans="1:19" x14ac:dyDescent="0.3">
      <c r="A22" s="7" t="s">
        <v>26</v>
      </c>
      <c r="B22" s="8">
        <v>0.8</v>
      </c>
      <c r="C22" s="8">
        <v>3.9</v>
      </c>
      <c r="D22" s="8">
        <v>1.6</v>
      </c>
      <c r="E22" s="8">
        <v>0.7</v>
      </c>
      <c r="F22" s="8">
        <v>0.1</v>
      </c>
      <c r="G22" s="8">
        <v>1.1000000000000001</v>
      </c>
      <c r="H22" s="8">
        <v>0.39</v>
      </c>
      <c r="I22" s="9">
        <v>27</v>
      </c>
      <c r="J22" s="10"/>
      <c r="L22" s="8">
        <f t="shared" si="2"/>
        <v>0</v>
      </c>
      <c r="M22" s="8">
        <f t="shared" si="2"/>
        <v>0</v>
      </c>
      <c r="N22" s="8">
        <f t="shared" si="2"/>
        <v>0</v>
      </c>
      <c r="O22" s="8">
        <f t="shared" si="2"/>
        <v>0</v>
      </c>
      <c r="P22" s="8">
        <f t="shared" si="2"/>
        <v>0</v>
      </c>
      <c r="Q22" s="8">
        <f t="shared" si="2"/>
        <v>0</v>
      </c>
      <c r="R22" s="8">
        <f t="shared" si="2"/>
        <v>0</v>
      </c>
      <c r="S22" s="9">
        <f t="shared" si="2"/>
        <v>0</v>
      </c>
    </row>
    <row r="23" spans="1:19" x14ac:dyDescent="0.3">
      <c r="A23" s="7" t="s">
        <v>15</v>
      </c>
      <c r="B23" s="8">
        <v>0.36</v>
      </c>
      <c r="C23" s="8">
        <v>7.0000000000000007E-2</v>
      </c>
      <c r="D23" s="8">
        <v>0</v>
      </c>
      <c r="E23" s="8">
        <v>0.08</v>
      </c>
      <c r="F23" s="8">
        <v>0</v>
      </c>
      <c r="G23" s="8">
        <v>0.21</v>
      </c>
      <c r="H23" s="8">
        <v>1.2999999999999999E-2</v>
      </c>
      <c r="I23" s="9">
        <v>11.8</v>
      </c>
      <c r="J23" s="10"/>
      <c r="L23" s="8">
        <f t="shared" si="2"/>
        <v>0</v>
      </c>
      <c r="M23" s="8">
        <f t="shared" si="2"/>
        <v>0</v>
      </c>
      <c r="N23" s="8">
        <f t="shared" si="2"/>
        <v>0</v>
      </c>
      <c r="O23" s="8">
        <f t="shared" si="2"/>
        <v>0</v>
      </c>
      <c r="P23" s="8">
        <f t="shared" si="2"/>
        <v>0</v>
      </c>
      <c r="Q23" s="8">
        <f t="shared" si="2"/>
        <v>0</v>
      </c>
      <c r="R23" s="8">
        <f t="shared" si="2"/>
        <v>0</v>
      </c>
      <c r="S23" s="9">
        <f t="shared" si="2"/>
        <v>0</v>
      </c>
    </row>
    <row r="24" spans="1:19" ht="24" x14ac:dyDescent="0.3">
      <c r="A24" s="7" t="s">
        <v>14</v>
      </c>
      <c r="B24" s="8">
        <v>0.75</v>
      </c>
      <c r="C24" s="8">
        <v>3.25</v>
      </c>
      <c r="D24" s="8">
        <v>0</v>
      </c>
      <c r="E24" s="8">
        <v>0.2</v>
      </c>
      <c r="F24" s="8">
        <v>0</v>
      </c>
      <c r="G24" s="8">
        <v>1</v>
      </c>
      <c r="H24" s="8">
        <v>0.01</v>
      </c>
      <c r="I24" s="9">
        <v>15</v>
      </c>
      <c r="J24" s="10"/>
      <c r="L24" s="8">
        <f>B24*$J24</f>
        <v>0</v>
      </c>
      <c r="M24" s="8">
        <f t="shared" si="2"/>
        <v>0</v>
      </c>
      <c r="N24" s="8">
        <f t="shared" si="2"/>
        <v>0</v>
      </c>
      <c r="O24" s="8">
        <f t="shared" si="2"/>
        <v>0</v>
      </c>
      <c r="P24" s="8">
        <f t="shared" si="2"/>
        <v>0</v>
      </c>
      <c r="Q24" s="8">
        <f t="shared" si="2"/>
        <v>0</v>
      </c>
      <c r="R24" s="8">
        <f t="shared" si="2"/>
        <v>0</v>
      </c>
      <c r="S24" s="9">
        <f t="shared" si="2"/>
        <v>0</v>
      </c>
    </row>
    <row r="25" spans="1:19" x14ac:dyDescent="0.3">
      <c r="A25" s="7" t="s">
        <v>27</v>
      </c>
      <c r="B25" s="8">
        <v>1.5</v>
      </c>
      <c r="C25" s="8">
        <v>6.5</v>
      </c>
      <c r="D25" s="8">
        <v>0</v>
      </c>
      <c r="E25" s="8">
        <v>11.3</v>
      </c>
      <c r="F25" s="8">
        <v>1.6</v>
      </c>
      <c r="G25" s="8">
        <v>5</v>
      </c>
      <c r="H25" s="8">
        <v>1E-3</v>
      </c>
      <c r="I25" s="9">
        <v>120</v>
      </c>
      <c r="J25" s="10"/>
      <c r="L25" s="8">
        <f>B25*$J25</f>
        <v>0</v>
      </c>
      <c r="M25" s="8">
        <f t="shared" ref="M25:S25" si="3">C25*$J25</f>
        <v>0</v>
      </c>
      <c r="N25" s="8">
        <f t="shared" si="3"/>
        <v>0</v>
      </c>
      <c r="O25" s="8">
        <f t="shared" si="3"/>
        <v>0</v>
      </c>
      <c r="P25" s="8">
        <f t="shared" si="3"/>
        <v>0</v>
      </c>
      <c r="Q25" s="8">
        <f t="shared" si="3"/>
        <v>0</v>
      </c>
      <c r="R25" s="8">
        <f t="shared" si="3"/>
        <v>0</v>
      </c>
      <c r="S25" s="9">
        <f t="shared" si="3"/>
        <v>0</v>
      </c>
    </row>
    <row r="26" spans="1:19" x14ac:dyDescent="0.3">
      <c r="A26" s="7" t="s">
        <v>28</v>
      </c>
      <c r="B26" s="8">
        <v>0.67</v>
      </c>
      <c r="C26" s="8">
        <v>0.34</v>
      </c>
      <c r="D26" s="8">
        <v>0</v>
      </c>
      <c r="E26" s="8">
        <v>0.18</v>
      </c>
      <c r="F26" s="8">
        <v>0</v>
      </c>
      <c r="G26" s="8">
        <v>0.52</v>
      </c>
      <c r="H26" s="8">
        <v>0.01</v>
      </c>
      <c r="I26" s="9">
        <v>5.6</v>
      </c>
      <c r="J26" s="10"/>
      <c r="L26" s="8">
        <f t="shared" ref="L26:S46" si="4">B26*$J26</f>
        <v>0</v>
      </c>
      <c r="M26" s="8">
        <f t="shared" si="4"/>
        <v>0</v>
      </c>
      <c r="N26" s="8">
        <f t="shared" si="4"/>
        <v>0</v>
      </c>
      <c r="O26" s="8">
        <f t="shared" si="4"/>
        <v>0</v>
      </c>
      <c r="P26" s="8">
        <f t="shared" si="4"/>
        <v>0</v>
      </c>
      <c r="Q26" s="8">
        <f t="shared" si="4"/>
        <v>0</v>
      </c>
      <c r="R26" s="8">
        <f t="shared" si="4"/>
        <v>0</v>
      </c>
      <c r="S26" s="9">
        <f t="shared" si="4"/>
        <v>0</v>
      </c>
    </row>
    <row r="27" spans="1:19" x14ac:dyDescent="0.3">
      <c r="A27" s="7" t="s">
        <v>29</v>
      </c>
      <c r="B27" s="8">
        <v>2</v>
      </c>
      <c r="C27" s="8">
        <v>3</v>
      </c>
      <c r="D27" s="8">
        <v>0</v>
      </c>
      <c r="E27" s="8">
        <v>0</v>
      </c>
      <c r="F27" s="8">
        <v>0</v>
      </c>
      <c r="G27" s="8">
        <v>3.3</v>
      </c>
      <c r="H27" s="8">
        <v>0</v>
      </c>
      <c r="I27" s="9">
        <v>30</v>
      </c>
      <c r="J27" s="10"/>
      <c r="L27" s="8">
        <f t="shared" si="4"/>
        <v>0</v>
      </c>
      <c r="M27" s="8">
        <f t="shared" si="4"/>
        <v>0</v>
      </c>
      <c r="N27" s="8">
        <f t="shared" si="4"/>
        <v>0</v>
      </c>
      <c r="O27" s="8">
        <f t="shared" si="4"/>
        <v>0</v>
      </c>
      <c r="P27" s="8">
        <f t="shared" si="4"/>
        <v>0</v>
      </c>
      <c r="Q27" s="8">
        <f t="shared" si="4"/>
        <v>0</v>
      </c>
      <c r="R27" s="8">
        <f t="shared" si="4"/>
        <v>0</v>
      </c>
      <c r="S27" s="9">
        <f t="shared" si="4"/>
        <v>0</v>
      </c>
    </row>
    <row r="28" spans="1:19" x14ac:dyDescent="0.3">
      <c r="A28" s="7" t="s">
        <v>30</v>
      </c>
      <c r="B28" s="8">
        <v>1.3</v>
      </c>
      <c r="C28" s="8">
        <v>7</v>
      </c>
      <c r="D28" s="8">
        <v>0</v>
      </c>
      <c r="E28" s="8">
        <v>0.5</v>
      </c>
      <c r="F28" s="8">
        <v>0.5</v>
      </c>
      <c r="G28" s="8">
        <v>0</v>
      </c>
      <c r="H28" s="8">
        <v>0.34</v>
      </c>
      <c r="I28" s="9">
        <v>41</v>
      </c>
      <c r="J28" s="10"/>
      <c r="L28" s="8">
        <f t="shared" si="4"/>
        <v>0</v>
      </c>
      <c r="M28" s="8">
        <f t="shared" si="4"/>
        <v>0</v>
      </c>
      <c r="N28" s="8">
        <f t="shared" si="4"/>
        <v>0</v>
      </c>
      <c r="O28" s="8">
        <f t="shared" si="4"/>
        <v>0</v>
      </c>
      <c r="P28" s="8">
        <f t="shared" si="4"/>
        <v>0</v>
      </c>
      <c r="Q28" s="8">
        <f t="shared" si="4"/>
        <v>0</v>
      </c>
      <c r="R28" s="8">
        <f t="shared" si="4"/>
        <v>0</v>
      </c>
      <c r="S28" s="9">
        <f t="shared" si="4"/>
        <v>0</v>
      </c>
    </row>
    <row r="29" spans="1:19" ht="36" x14ac:dyDescent="0.3">
      <c r="A29" s="7" t="s">
        <v>31</v>
      </c>
      <c r="B29" s="8">
        <v>1.8</v>
      </c>
      <c r="C29" s="8">
        <v>20</v>
      </c>
      <c r="D29" s="8">
        <v>0</v>
      </c>
      <c r="E29" s="8">
        <v>0</v>
      </c>
      <c r="F29" s="8">
        <v>0</v>
      </c>
      <c r="G29" s="8">
        <v>2</v>
      </c>
      <c r="H29" s="8">
        <v>0.01</v>
      </c>
      <c r="I29" s="9">
        <v>87</v>
      </c>
      <c r="J29" s="10"/>
      <c r="L29" s="8">
        <f t="shared" si="4"/>
        <v>0</v>
      </c>
      <c r="M29" s="8">
        <f t="shared" si="4"/>
        <v>0</v>
      </c>
      <c r="N29" s="8">
        <f t="shared" si="4"/>
        <v>0</v>
      </c>
      <c r="O29" s="8">
        <f t="shared" si="4"/>
        <v>0</v>
      </c>
      <c r="P29" s="8">
        <f t="shared" si="4"/>
        <v>0</v>
      </c>
      <c r="Q29" s="8">
        <f t="shared" si="4"/>
        <v>0</v>
      </c>
      <c r="R29" s="8">
        <f t="shared" si="4"/>
        <v>0</v>
      </c>
      <c r="S29" s="9">
        <f t="shared" si="4"/>
        <v>0</v>
      </c>
    </row>
    <row r="30" spans="1:19" ht="24" x14ac:dyDescent="0.3">
      <c r="A30" s="7" t="s">
        <v>32</v>
      </c>
      <c r="B30" s="8">
        <v>2.5</v>
      </c>
      <c r="C30" s="8">
        <v>29</v>
      </c>
      <c r="D30" s="8">
        <v>0</v>
      </c>
      <c r="E30" s="8">
        <v>0.2</v>
      </c>
      <c r="F30" s="8">
        <v>0.1</v>
      </c>
      <c r="G30" s="8">
        <v>0.4</v>
      </c>
      <c r="H30" s="8">
        <v>0.3</v>
      </c>
      <c r="I30" s="9">
        <v>130</v>
      </c>
      <c r="J30" s="10"/>
      <c r="L30" s="8">
        <f t="shared" si="4"/>
        <v>0</v>
      </c>
      <c r="M30" s="8">
        <f t="shared" si="4"/>
        <v>0</v>
      </c>
      <c r="N30" s="8">
        <f t="shared" si="4"/>
        <v>0</v>
      </c>
      <c r="O30" s="8">
        <f t="shared" si="4"/>
        <v>0</v>
      </c>
      <c r="P30" s="8">
        <f t="shared" si="4"/>
        <v>0</v>
      </c>
      <c r="Q30" s="8">
        <f t="shared" si="4"/>
        <v>0</v>
      </c>
      <c r="R30" s="8">
        <f t="shared" si="4"/>
        <v>0</v>
      </c>
      <c r="S30" s="9">
        <f t="shared" si="4"/>
        <v>0</v>
      </c>
    </row>
    <row r="31" spans="1:19" ht="24" x14ac:dyDescent="0.3">
      <c r="A31" s="7" t="s">
        <v>33</v>
      </c>
      <c r="B31" s="8">
        <v>2.93</v>
      </c>
      <c r="C31" s="8">
        <v>25.7</v>
      </c>
      <c r="D31" s="8">
        <v>0</v>
      </c>
      <c r="E31" s="8">
        <v>0.93</v>
      </c>
      <c r="F31" s="8">
        <v>0.3</v>
      </c>
      <c r="G31" s="8">
        <v>1.03</v>
      </c>
      <c r="H31" s="8">
        <v>0.03</v>
      </c>
      <c r="I31" s="9">
        <v>125</v>
      </c>
      <c r="J31" s="10"/>
      <c r="L31" s="8">
        <f t="shared" si="4"/>
        <v>0</v>
      </c>
      <c r="M31" s="8">
        <f t="shared" si="4"/>
        <v>0</v>
      </c>
      <c r="N31" s="8">
        <f t="shared" si="4"/>
        <v>0</v>
      </c>
      <c r="O31" s="8">
        <f t="shared" si="4"/>
        <v>0</v>
      </c>
      <c r="P31" s="8">
        <f t="shared" si="4"/>
        <v>0</v>
      </c>
      <c r="Q31" s="8">
        <f t="shared" si="4"/>
        <v>0</v>
      </c>
      <c r="R31" s="8">
        <f t="shared" si="4"/>
        <v>0</v>
      </c>
      <c r="S31" s="9">
        <f t="shared" si="4"/>
        <v>0</v>
      </c>
    </row>
    <row r="32" spans="1:19" x14ac:dyDescent="0.3">
      <c r="A32" s="7" t="s">
        <v>21</v>
      </c>
      <c r="B32" s="8">
        <v>6.5</v>
      </c>
      <c r="C32" s="8">
        <v>0.6</v>
      </c>
      <c r="D32" s="8">
        <v>0</v>
      </c>
      <c r="E32" s="8">
        <v>5.9</v>
      </c>
      <c r="F32" s="8">
        <v>1.8</v>
      </c>
      <c r="G32" s="8">
        <v>0</v>
      </c>
      <c r="H32" s="8">
        <v>0.1</v>
      </c>
      <c r="I32" s="9">
        <v>84</v>
      </c>
      <c r="J32" s="10"/>
      <c r="L32" s="8">
        <f t="shared" si="4"/>
        <v>0</v>
      </c>
      <c r="M32" s="8">
        <f t="shared" si="4"/>
        <v>0</v>
      </c>
      <c r="N32" s="8">
        <f t="shared" si="4"/>
        <v>0</v>
      </c>
      <c r="O32" s="8">
        <f t="shared" si="4"/>
        <v>0</v>
      </c>
      <c r="P32" s="8">
        <f t="shared" si="4"/>
        <v>0</v>
      </c>
      <c r="Q32" s="8">
        <f t="shared" si="4"/>
        <v>0</v>
      </c>
      <c r="R32" s="8">
        <f t="shared" si="4"/>
        <v>0</v>
      </c>
      <c r="S32" s="9">
        <f t="shared" si="4"/>
        <v>0</v>
      </c>
    </row>
    <row r="33" spans="1:19" ht="24" x14ac:dyDescent="0.3">
      <c r="A33" s="7" t="s">
        <v>34</v>
      </c>
      <c r="B33" s="8">
        <v>19.600000000000001</v>
      </c>
      <c r="C33" s="8">
        <v>5.8</v>
      </c>
      <c r="D33" s="8">
        <v>2.2999999999999998</v>
      </c>
      <c r="E33" s="8">
        <v>7.5</v>
      </c>
      <c r="F33" s="8">
        <v>0.7</v>
      </c>
      <c r="G33" s="8">
        <v>5.9</v>
      </c>
      <c r="H33" s="8">
        <v>1.3</v>
      </c>
      <c r="I33" s="9">
        <v>181</v>
      </c>
      <c r="J33" s="10">
        <v>1</v>
      </c>
      <c r="L33" s="8">
        <f t="shared" si="4"/>
        <v>19.600000000000001</v>
      </c>
      <c r="M33" s="8">
        <f t="shared" si="4"/>
        <v>5.8</v>
      </c>
      <c r="N33" s="8">
        <f t="shared" si="4"/>
        <v>2.2999999999999998</v>
      </c>
      <c r="O33" s="8">
        <f t="shared" si="4"/>
        <v>7.5</v>
      </c>
      <c r="P33" s="8">
        <f t="shared" si="4"/>
        <v>0.7</v>
      </c>
      <c r="Q33" s="8">
        <f t="shared" si="4"/>
        <v>5.9</v>
      </c>
      <c r="R33" s="8">
        <f t="shared" si="4"/>
        <v>1.3</v>
      </c>
      <c r="S33" s="9">
        <f t="shared" si="4"/>
        <v>181</v>
      </c>
    </row>
    <row r="34" spans="1:19" ht="24" x14ac:dyDescent="0.3">
      <c r="A34" s="7" t="s">
        <v>35</v>
      </c>
      <c r="B34" s="8">
        <v>16.2</v>
      </c>
      <c r="C34" s="8">
        <v>5.2</v>
      </c>
      <c r="D34" s="8">
        <v>3.3</v>
      </c>
      <c r="E34" s="8">
        <v>14.4</v>
      </c>
      <c r="F34" s="8">
        <v>1</v>
      </c>
      <c r="G34" s="8">
        <v>5.9</v>
      </c>
      <c r="H34" s="8">
        <v>1</v>
      </c>
      <c r="I34" s="9">
        <v>227</v>
      </c>
      <c r="J34" s="10"/>
      <c r="L34" s="8">
        <f t="shared" si="4"/>
        <v>0</v>
      </c>
      <c r="M34" s="8">
        <f t="shared" si="4"/>
        <v>0</v>
      </c>
      <c r="N34" s="8">
        <f t="shared" si="4"/>
        <v>0</v>
      </c>
      <c r="O34" s="8">
        <f t="shared" si="4"/>
        <v>0</v>
      </c>
      <c r="P34" s="8">
        <f t="shared" si="4"/>
        <v>0</v>
      </c>
      <c r="Q34" s="8">
        <f t="shared" si="4"/>
        <v>0</v>
      </c>
      <c r="R34" s="8">
        <f t="shared" si="4"/>
        <v>0</v>
      </c>
      <c r="S34" s="9">
        <f t="shared" si="4"/>
        <v>0</v>
      </c>
    </row>
    <row r="35" spans="1:19" x14ac:dyDescent="0.3">
      <c r="A35" s="7" t="s">
        <v>36</v>
      </c>
      <c r="B35" s="8">
        <v>20</v>
      </c>
      <c r="C35" s="8">
        <v>0</v>
      </c>
      <c r="D35" s="8">
        <v>0</v>
      </c>
      <c r="E35" s="8">
        <v>13</v>
      </c>
      <c r="F35" s="8">
        <v>3</v>
      </c>
      <c r="G35" s="8">
        <v>0</v>
      </c>
      <c r="H35" s="8">
        <v>0.59</v>
      </c>
      <c r="I35" s="9">
        <v>208</v>
      </c>
      <c r="J35" s="10"/>
      <c r="L35" s="8">
        <f t="shared" si="4"/>
        <v>0</v>
      </c>
      <c r="M35" s="8">
        <f t="shared" si="4"/>
        <v>0</v>
      </c>
      <c r="N35" s="8">
        <f t="shared" si="4"/>
        <v>0</v>
      </c>
      <c r="O35" s="8">
        <f t="shared" si="4"/>
        <v>0</v>
      </c>
      <c r="P35" s="8">
        <f t="shared" si="4"/>
        <v>0</v>
      </c>
      <c r="Q35" s="8">
        <f t="shared" si="4"/>
        <v>0</v>
      </c>
      <c r="R35" s="8">
        <f t="shared" si="4"/>
        <v>0</v>
      </c>
      <c r="S35" s="9">
        <f t="shared" si="4"/>
        <v>0</v>
      </c>
    </row>
    <row r="36" spans="1:19" x14ac:dyDescent="0.3">
      <c r="A36" s="7" t="s">
        <v>37</v>
      </c>
      <c r="B36" s="8">
        <v>21</v>
      </c>
      <c r="C36" s="8">
        <v>0</v>
      </c>
      <c r="D36" s="8">
        <v>0</v>
      </c>
      <c r="E36" s="8">
        <v>3.5</v>
      </c>
      <c r="F36" s="8">
        <v>1</v>
      </c>
      <c r="G36" s="8">
        <v>0</v>
      </c>
      <c r="H36" s="8">
        <v>0.01</v>
      </c>
      <c r="I36" s="9">
        <v>120</v>
      </c>
      <c r="J36" s="10"/>
      <c r="L36" s="8">
        <f t="shared" si="4"/>
        <v>0</v>
      </c>
      <c r="M36" s="8">
        <f t="shared" si="4"/>
        <v>0</v>
      </c>
      <c r="N36" s="8">
        <f t="shared" si="4"/>
        <v>0</v>
      </c>
      <c r="O36" s="8">
        <f t="shared" si="4"/>
        <v>0</v>
      </c>
      <c r="P36" s="8">
        <f t="shared" si="4"/>
        <v>0</v>
      </c>
      <c r="Q36" s="8">
        <f t="shared" si="4"/>
        <v>0</v>
      </c>
      <c r="R36" s="8">
        <f t="shared" si="4"/>
        <v>0</v>
      </c>
      <c r="S36" s="9">
        <f t="shared" si="4"/>
        <v>0</v>
      </c>
    </row>
    <row r="37" spans="1:19" ht="24" x14ac:dyDescent="0.3">
      <c r="A37" s="7" t="s">
        <v>38</v>
      </c>
      <c r="B37" s="8">
        <v>28.15</v>
      </c>
      <c r="C37" s="8">
        <v>0</v>
      </c>
      <c r="D37" s="8">
        <v>0</v>
      </c>
      <c r="E37" s="8">
        <v>5</v>
      </c>
      <c r="F37" s="8">
        <v>2</v>
      </c>
      <c r="G37" s="8">
        <v>0</v>
      </c>
      <c r="H37" s="8">
        <v>0.44</v>
      </c>
      <c r="I37" s="9">
        <v>170.34</v>
      </c>
      <c r="J37" s="10"/>
      <c r="L37" s="8">
        <f t="shared" si="4"/>
        <v>0</v>
      </c>
      <c r="M37" s="8">
        <f t="shared" si="4"/>
        <v>0</v>
      </c>
      <c r="N37" s="8">
        <f t="shared" si="4"/>
        <v>0</v>
      </c>
      <c r="O37" s="8">
        <f t="shared" si="4"/>
        <v>0</v>
      </c>
      <c r="P37" s="8">
        <f t="shared" si="4"/>
        <v>0</v>
      </c>
      <c r="Q37" s="8">
        <f t="shared" si="4"/>
        <v>0</v>
      </c>
      <c r="R37" s="8">
        <f t="shared" si="4"/>
        <v>0</v>
      </c>
      <c r="S37" s="9">
        <f t="shared" si="4"/>
        <v>0</v>
      </c>
    </row>
    <row r="38" spans="1:19" ht="24" x14ac:dyDescent="0.3">
      <c r="A38" s="7" t="s">
        <v>39</v>
      </c>
      <c r="B38" s="8">
        <v>23.4</v>
      </c>
      <c r="C38" s="8">
        <v>0</v>
      </c>
      <c r="D38" s="8">
        <v>0</v>
      </c>
      <c r="E38" s="8">
        <v>1.3</v>
      </c>
      <c r="F38" s="8">
        <v>0.3</v>
      </c>
      <c r="G38" s="8">
        <v>0</v>
      </c>
      <c r="H38" s="8">
        <v>0.2</v>
      </c>
      <c r="I38" s="9">
        <v>105</v>
      </c>
      <c r="J38" s="10"/>
      <c r="L38" s="8">
        <f t="shared" si="4"/>
        <v>0</v>
      </c>
      <c r="M38" s="8">
        <f t="shared" si="4"/>
        <v>0</v>
      </c>
      <c r="N38" s="8">
        <f t="shared" si="4"/>
        <v>0</v>
      </c>
      <c r="O38" s="8">
        <f t="shared" si="4"/>
        <v>0</v>
      </c>
      <c r="P38" s="8">
        <f t="shared" si="4"/>
        <v>0</v>
      </c>
      <c r="Q38" s="8">
        <f t="shared" si="4"/>
        <v>0</v>
      </c>
      <c r="R38" s="8">
        <f t="shared" si="4"/>
        <v>0</v>
      </c>
      <c r="S38" s="9">
        <f t="shared" si="4"/>
        <v>0</v>
      </c>
    </row>
    <row r="39" spans="1:19" ht="24" x14ac:dyDescent="0.3">
      <c r="A39" s="7" t="s">
        <v>40</v>
      </c>
      <c r="B39" s="8">
        <v>2.5</v>
      </c>
      <c r="C39" s="8">
        <v>29</v>
      </c>
      <c r="D39" s="8">
        <v>0</v>
      </c>
      <c r="E39" s="8">
        <v>0.2</v>
      </c>
      <c r="F39" s="8">
        <v>0.1</v>
      </c>
      <c r="G39" s="8">
        <v>0.4</v>
      </c>
      <c r="H39" s="8">
        <v>0.3</v>
      </c>
      <c r="I39" s="9">
        <v>130</v>
      </c>
      <c r="J39" s="10"/>
      <c r="L39" s="8">
        <f t="shared" si="4"/>
        <v>0</v>
      </c>
      <c r="M39" s="8">
        <f t="shared" si="4"/>
        <v>0</v>
      </c>
      <c r="N39" s="8">
        <f t="shared" si="4"/>
        <v>0</v>
      </c>
      <c r="O39" s="8">
        <f t="shared" si="4"/>
        <v>0</v>
      </c>
      <c r="P39" s="8">
        <f t="shared" si="4"/>
        <v>0</v>
      </c>
      <c r="Q39" s="8">
        <f t="shared" si="4"/>
        <v>0</v>
      </c>
      <c r="R39" s="8">
        <f t="shared" si="4"/>
        <v>0</v>
      </c>
      <c r="S39" s="9">
        <f t="shared" si="4"/>
        <v>0</v>
      </c>
    </row>
    <row r="40" spans="1:19" x14ac:dyDescent="0.3">
      <c r="A40" s="7" t="s">
        <v>17</v>
      </c>
      <c r="B40" s="8">
        <v>0.7</v>
      </c>
      <c r="C40" s="8">
        <v>14.5</v>
      </c>
      <c r="D40" s="8">
        <v>0</v>
      </c>
      <c r="E40" s="8">
        <v>0.3</v>
      </c>
      <c r="F40" s="8">
        <v>0</v>
      </c>
      <c r="G40" s="8">
        <v>2.4</v>
      </c>
      <c r="H40" s="8">
        <v>0.01</v>
      </c>
      <c r="I40" s="9">
        <v>57</v>
      </c>
      <c r="J40" s="10"/>
      <c r="L40" s="8">
        <f t="shared" si="4"/>
        <v>0</v>
      </c>
      <c r="M40" s="8">
        <f t="shared" si="4"/>
        <v>0</v>
      </c>
      <c r="N40" s="8">
        <f t="shared" si="4"/>
        <v>0</v>
      </c>
      <c r="O40" s="8">
        <f t="shared" si="4"/>
        <v>0</v>
      </c>
      <c r="P40" s="8">
        <f t="shared" si="4"/>
        <v>0</v>
      </c>
      <c r="Q40" s="8">
        <f t="shared" si="4"/>
        <v>0</v>
      </c>
      <c r="R40" s="8">
        <f t="shared" si="4"/>
        <v>0</v>
      </c>
      <c r="S40" s="9">
        <f t="shared" si="4"/>
        <v>0</v>
      </c>
    </row>
    <row r="41" spans="1:19" ht="24" x14ac:dyDescent="0.3">
      <c r="A41" s="7" t="s">
        <v>23</v>
      </c>
      <c r="B41" s="8">
        <v>1.9</v>
      </c>
      <c r="C41" s="8">
        <v>1.3</v>
      </c>
      <c r="D41" s="8">
        <v>0.95</v>
      </c>
      <c r="E41" s="8">
        <v>3.1</v>
      </c>
      <c r="F41" s="8">
        <v>0.03</v>
      </c>
      <c r="G41" s="8">
        <v>3.5</v>
      </c>
      <c r="H41" s="8">
        <v>1E-3</v>
      </c>
      <c r="I41" s="9">
        <v>47.7</v>
      </c>
      <c r="J41" s="10"/>
      <c r="L41" s="8">
        <f t="shared" si="4"/>
        <v>0</v>
      </c>
      <c r="M41" s="8">
        <f t="shared" si="4"/>
        <v>0</v>
      </c>
      <c r="N41" s="8">
        <f t="shared" si="4"/>
        <v>0</v>
      </c>
      <c r="O41" s="8">
        <f t="shared" si="4"/>
        <v>0</v>
      </c>
      <c r="P41" s="8">
        <f t="shared" si="4"/>
        <v>0</v>
      </c>
      <c r="Q41" s="8">
        <f t="shared" si="4"/>
        <v>0</v>
      </c>
      <c r="R41" s="8">
        <f t="shared" si="4"/>
        <v>0</v>
      </c>
      <c r="S41" s="9">
        <f t="shared" si="4"/>
        <v>0</v>
      </c>
    </row>
    <row r="42" spans="1:19" x14ac:dyDescent="0.3">
      <c r="A42" s="7" t="s">
        <v>41</v>
      </c>
      <c r="B42" s="8">
        <v>1</v>
      </c>
      <c r="C42" s="8">
        <v>5.5</v>
      </c>
      <c r="D42" s="8">
        <v>0.18</v>
      </c>
      <c r="E42" s="8">
        <v>0.92</v>
      </c>
      <c r="F42" s="8">
        <v>0.16</v>
      </c>
      <c r="G42" s="8">
        <v>0.36</v>
      </c>
      <c r="H42" s="8">
        <v>0</v>
      </c>
      <c r="I42" s="9">
        <v>35.25</v>
      </c>
      <c r="J42" s="10"/>
      <c r="L42" s="8">
        <f t="shared" si="4"/>
        <v>0</v>
      </c>
      <c r="M42" s="8">
        <f t="shared" si="4"/>
        <v>0</v>
      </c>
      <c r="N42" s="8">
        <f t="shared" si="4"/>
        <v>0</v>
      </c>
      <c r="O42" s="8">
        <f t="shared" si="4"/>
        <v>0</v>
      </c>
      <c r="P42" s="8">
        <f t="shared" si="4"/>
        <v>0</v>
      </c>
      <c r="Q42" s="8">
        <f t="shared" si="4"/>
        <v>0</v>
      </c>
      <c r="R42" s="8">
        <f t="shared" si="4"/>
        <v>0</v>
      </c>
      <c r="S42" s="9">
        <f t="shared" si="4"/>
        <v>0</v>
      </c>
    </row>
    <row r="43" spans="1:19" x14ac:dyDescent="0.3">
      <c r="A43" s="7" t="s">
        <v>42</v>
      </c>
      <c r="B43" s="8">
        <v>1</v>
      </c>
      <c r="C43" s="8">
        <v>5.5</v>
      </c>
      <c r="D43" s="8">
        <v>0.28000000000000003</v>
      </c>
      <c r="E43" s="8">
        <v>1</v>
      </c>
      <c r="F43" s="8">
        <v>0.17</v>
      </c>
      <c r="G43" s="8">
        <v>0.35</v>
      </c>
      <c r="H43" s="8">
        <v>0.11</v>
      </c>
      <c r="I43" s="9">
        <v>35.83</v>
      </c>
      <c r="J43" s="10"/>
      <c r="L43" s="8">
        <f t="shared" si="4"/>
        <v>0</v>
      </c>
      <c r="M43" s="8">
        <f t="shared" si="4"/>
        <v>0</v>
      </c>
      <c r="N43" s="8">
        <f t="shared" si="4"/>
        <v>0</v>
      </c>
      <c r="O43" s="8">
        <f t="shared" si="4"/>
        <v>0</v>
      </c>
      <c r="P43" s="8">
        <f t="shared" si="4"/>
        <v>0</v>
      </c>
      <c r="Q43" s="8">
        <f t="shared" si="4"/>
        <v>0</v>
      </c>
      <c r="R43" s="8">
        <f t="shared" si="4"/>
        <v>0</v>
      </c>
      <c r="S43" s="9">
        <f>I43*$J43</f>
        <v>0</v>
      </c>
    </row>
    <row r="44" spans="1:19" x14ac:dyDescent="0.3">
      <c r="A44" s="7" t="s">
        <v>43</v>
      </c>
      <c r="B44" s="8">
        <v>10.4</v>
      </c>
      <c r="C44" s="8">
        <v>3</v>
      </c>
      <c r="D44" s="8">
        <v>0</v>
      </c>
      <c r="E44" s="8">
        <v>0.8</v>
      </c>
      <c r="F44" s="8">
        <v>0.56000000000000005</v>
      </c>
      <c r="G44" s="8">
        <v>0.3</v>
      </c>
      <c r="H44" s="8">
        <v>0.48</v>
      </c>
      <c r="I44" s="9">
        <v>61</v>
      </c>
      <c r="J44" s="10"/>
      <c r="L44" s="8">
        <f t="shared" si="4"/>
        <v>0</v>
      </c>
      <c r="M44" s="8">
        <f t="shared" si="4"/>
        <v>0</v>
      </c>
      <c r="N44" s="8">
        <f t="shared" si="4"/>
        <v>0</v>
      </c>
      <c r="O44" s="8">
        <f t="shared" si="4"/>
        <v>0</v>
      </c>
      <c r="P44" s="8">
        <f t="shared" si="4"/>
        <v>0</v>
      </c>
      <c r="Q44" s="8">
        <f t="shared" si="4"/>
        <v>0</v>
      </c>
      <c r="R44" s="8">
        <f t="shared" si="4"/>
        <v>0</v>
      </c>
      <c r="S44" s="9">
        <f>I44*$J44</f>
        <v>0</v>
      </c>
    </row>
    <row r="45" spans="1:19" x14ac:dyDescent="0.3">
      <c r="A45" s="7" t="s">
        <v>44</v>
      </c>
      <c r="B45" s="8">
        <v>7.9</v>
      </c>
      <c r="C45" s="8">
        <v>2.6</v>
      </c>
      <c r="D45" s="8">
        <v>0</v>
      </c>
      <c r="E45" s="8">
        <v>0</v>
      </c>
      <c r="F45" s="8">
        <v>0</v>
      </c>
      <c r="G45" s="8">
        <v>0</v>
      </c>
      <c r="H45" s="8">
        <v>0.64</v>
      </c>
      <c r="I45" s="9">
        <v>42</v>
      </c>
      <c r="J45" s="10"/>
      <c r="L45" s="8"/>
      <c r="M45" s="8"/>
      <c r="N45" s="8"/>
      <c r="O45" s="8"/>
      <c r="P45" s="8"/>
      <c r="Q45" s="8"/>
      <c r="R45" s="8"/>
      <c r="S45" s="9"/>
    </row>
    <row r="46" spans="1:19" x14ac:dyDescent="0.3">
      <c r="A46" s="4" t="s">
        <v>22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/>
      <c r="K46" s="6"/>
      <c r="L46" s="5">
        <f>B46*$J46</f>
        <v>0</v>
      </c>
      <c r="M46" s="5">
        <f t="shared" si="4"/>
        <v>0</v>
      </c>
      <c r="N46" s="5">
        <f t="shared" si="4"/>
        <v>0</v>
      </c>
      <c r="O46" s="5">
        <f t="shared" si="4"/>
        <v>0</v>
      </c>
      <c r="P46" s="5">
        <f t="shared" si="4"/>
        <v>0</v>
      </c>
      <c r="Q46" s="5">
        <f t="shared" si="4"/>
        <v>0</v>
      </c>
      <c r="R46" s="5">
        <f t="shared" si="4"/>
        <v>0</v>
      </c>
      <c r="S46" s="5">
        <f t="shared" si="4"/>
        <v>0</v>
      </c>
    </row>
    <row r="47" spans="1:19" ht="13.8" customHeight="1" x14ac:dyDescent="0.3">
      <c r="A47" s="7" t="s">
        <v>45</v>
      </c>
      <c r="B47" s="8">
        <v>4.3600000000000003</v>
      </c>
      <c r="C47" s="8">
        <v>2.74</v>
      </c>
      <c r="D47" s="8">
        <v>0.55000000000000004</v>
      </c>
      <c r="E47" s="8">
        <v>16.260000000000002</v>
      </c>
      <c r="F47" s="8">
        <v>1.44</v>
      </c>
      <c r="G47" s="8">
        <v>1.33</v>
      </c>
      <c r="H47" s="8">
        <v>5.0000000000000001E-3</v>
      </c>
      <c r="I47" s="9">
        <v>177.5</v>
      </c>
      <c r="J47" s="10">
        <v>0.6</v>
      </c>
      <c r="L47" s="8">
        <f t="shared" ref="L47:S68" si="5">B47*$J47</f>
        <v>2.6160000000000001</v>
      </c>
      <c r="M47" s="8">
        <f t="shared" si="5"/>
        <v>1.6440000000000001</v>
      </c>
      <c r="N47" s="8">
        <f t="shared" si="5"/>
        <v>0.33</v>
      </c>
      <c r="O47" s="8">
        <f t="shared" si="5"/>
        <v>9.7560000000000002</v>
      </c>
      <c r="P47" s="8">
        <f t="shared" si="5"/>
        <v>0.86399999999999999</v>
      </c>
      <c r="Q47" s="8">
        <f t="shared" si="5"/>
        <v>0.79800000000000004</v>
      </c>
      <c r="R47" s="8">
        <f t="shared" si="5"/>
        <v>3.0000000000000001E-3</v>
      </c>
      <c r="S47" s="9">
        <f t="shared" si="5"/>
        <v>106.5</v>
      </c>
    </row>
    <row r="48" spans="1:19" ht="26.4" customHeight="1" x14ac:dyDescent="0.3">
      <c r="A48" s="7" t="s">
        <v>46</v>
      </c>
      <c r="B48" s="8">
        <v>5.6</v>
      </c>
      <c r="C48" s="8">
        <v>2.7</v>
      </c>
      <c r="D48" s="8">
        <v>1.2</v>
      </c>
      <c r="E48" s="8">
        <v>17</v>
      </c>
      <c r="F48" s="8">
        <v>1.8</v>
      </c>
      <c r="G48" s="8">
        <v>2.1</v>
      </c>
      <c r="H48" s="8">
        <v>0</v>
      </c>
      <c r="I48" s="9">
        <v>193</v>
      </c>
      <c r="J48" s="10">
        <v>0.6</v>
      </c>
      <c r="L48" s="8">
        <f t="shared" si="5"/>
        <v>3.36</v>
      </c>
      <c r="M48" s="8">
        <f t="shared" si="5"/>
        <v>1.62</v>
      </c>
      <c r="N48" s="8">
        <f t="shared" si="5"/>
        <v>0.72</v>
      </c>
      <c r="O48" s="8">
        <f t="shared" si="5"/>
        <v>10.199999999999999</v>
      </c>
      <c r="P48" s="8">
        <f t="shared" si="5"/>
        <v>1.08</v>
      </c>
      <c r="Q48" s="8">
        <f t="shared" si="5"/>
        <v>1.26</v>
      </c>
      <c r="R48" s="8">
        <f t="shared" si="5"/>
        <v>0</v>
      </c>
      <c r="S48" s="9">
        <f t="shared" si="5"/>
        <v>115.8</v>
      </c>
    </row>
    <row r="49" spans="1:19" ht="24" x14ac:dyDescent="0.3">
      <c r="A49" s="7" t="s">
        <v>47</v>
      </c>
      <c r="B49" s="8">
        <v>3.5</v>
      </c>
      <c r="C49" s="8">
        <v>2.2000000000000002</v>
      </c>
      <c r="D49" s="8">
        <v>0</v>
      </c>
      <c r="E49" s="8">
        <v>4.5</v>
      </c>
      <c r="F49" s="8">
        <v>0.88</v>
      </c>
      <c r="G49" s="8">
        <v>0.79</v>
      </c>
      <c r="H49" s="8">
        <v>3.0000000000000001E-3</v>
      </c>
      <c r="I49" s="9">
        <v>56.9</v>
      </c>
      <c r="J49" s="10"/>
      <c r="L49" s="8">
        <f t="shared" si="5"/>
        <v>0</v>
      </c>
      <c r="M49" s="8">
        <f t="shared" si="5"/>
        <v>0</v>
      </c>
      <c r="N49" s="8">
        <f t="shared" si="5"/>
        <v>0</v>
      </c>
      <c r="O49" s="8">
        <f t="shared" si="5"/>
        <v>0</v>
      </c>
      <c r="P49" s="8">
        <f t="shared" si="5"/>
        <v>0</v>
      </c>
      <c r="Q49" s="8">
        <f t="shared" si="5"/>
        <v>0</v>
      </c>
      <c r="R49" s="8">
        <f t="shared" si="5"/>
        <v>0</v>
      </c>
      <c r="S49" s="9">
        <f t="shared" si="5"/>
        <v>0</v>
      </c>
    </row>
    <row r="50" spans="1:19" ht="24" x14ac:dyDescent="0.3">
      <c r="A50" s="7" t="s">
        <v>48</v>
      </c>
      <c r="B50" s="8">
        <v>3.3</v>
      </c>
      <c r="C50" s="8">
        <v>0.36</v>
      </c>
      <c r="D50" s="8">
        <v>0</v>
      </c>
      <c r="E50" s="8">
        <v>0.48</v>
      </c>
      <c r="F50" s="8">
        <v>0.52</v>
      </c>
      <c r="G50" s="8">
        <v>0.6</v>
      </c>
      <c r="H50" s="8">
        <v>7.0000000000000001E-3</v>
      </c>
      <c r="I50" s="9">
        <v>59</v>
      </c>
      <c r="J50" s="10"/>
      <c r="L50" s="8">
        <f t="shared" si="5"/>
        <v>0</v>
      </c>
      <c r="M50" s="8">
        <f t="shared" si="5"/>
        <v>0</v>
      </c>
      <c r="N50" s="8">
        <f t="shared" si="5"/>
        <v>0</v>
      </c>
      <c r="O50" s="8">
        <f t="shared" si="5"/>
        <v>0</v>
      </c>
      <c r="P50" s="8">
        <f t="shared" si="5"/>
        <v>0</v>
      </c>
      <c r="Q50" s="8">
        <f t="shared" si="5"/>
        <v>0</v>
      </c>
      <c r="R50" s="8">
        <f t="shared" si="5"/>
        <v>0</v>
      </c>
      <c r="S50" s="9">
        <f t="shared" si="5"/>
        <v>0</v>
      </c>
    </row>
    <row r="51" spans="1:19" ht="24" x14ac:dyDescent="0.3">
      <c r="A51" s="7" t="s">
        <v>49</v>
      </c>
      <c r="B51" s="8">
        <v>2.2799999999999998</v>
      </c>
      <c r="C51" s="8">
        <v>1.88</v>
      </c>
      <c r="D51" s="8">
        <v>0</v>
      </c>
      <c r="E51" s="8">
        <v>4.96</v>
      </c>
      <c r="F51" s="8">
        <v>0.52</v>
      </c>
      <c r="G51" s="8">
        <v>1.05</v>
      </c>
      <c r="H51" s="8">
        <v>3.0000000000000001E-3</v>
      </c>
      <c r="I51" s="9">
        <v>63.4</v>
      </c>
      <c r="J51" s="10"/>
      <c r="L51" s="8">
        <f t="shared" si="5"/>
        <v>0</v>
      </c>
      <c r="M51" s="8">
        <f t="shared" si="5"/>
        <v>0</v>
      </c>
      <c r="N51" s="8">
        <f t="shared" si="5"/>
        <v>0</v>
      </c>
      <c r="O51" s="8">
        <f t="shared" si="5"/>
        <v>0</v>
      </c>
      <c r="P51" s="8">
        <f t="shared" si="5"/>
        <v>0</v>
      </c>
      <c r="Q51" s="8">
        <f t="shared" si="5"/>
        <v>0</v>
      </c>
      <c r="R51" s="8">
        <f t="shared" si="5"/>
        <v>0</v>
      </c>
      <c r="S51" s="9">
        <f t="shared" si="5"/>
        <v>0</v>
      </c>
    </row>
    <row r="52" spans="1:19" ht="24" x14ac:dyDescent="0.3">
      <c r="A52" s="7" t="s">
        <v>23</v>
      </c>
      <c r="B52" s="8">
        <v>1.9</v>
      </c>
      <c r="C52" s="8">
        <v>1.3</v>
      </c>
      <c r="D52" s="8">
        <v>0.95</v>
      </c>
      <c r="E52" s="8">
        <v>3.1</v>
      </c>
      <c r="F52" s="8">
        <v>0.03</v>
      </c>
      <c r="G52" s="8">
        <v>3.5</v>
      </c>
      <c r="H52" s="8">
        <v>1E-3</v>
      </c>
      <c r="I52" s="9">
        <v>47.7</v>
      </c>
      <c r="J52" s="10"/>
      <c r="L52" s="8">
        <f t="shared" si="5"/>
        <v>0</v>
      </c>
      <c r="M52" s="8">
        <f t="shared" si="5"/>
        <v>0</v>
      </c>
      <c r="N52" s="8">
        <f t="shared" si="5"/>
        <v>0</v>
      </c>
      <c r="O52" s="8">
        <f t="shared" si="5"/>
        <v>0</v>
      </c>
      <c r="P52" s="8">
        <f t="shared" si="5"/>
        <v>0</v>
      </c>
      <c r="Q52" s="8">
        <f t="shared" si="5"/>
        <v>0</v>
      </c>
      <c r="R52" s="8">
        <f t="shared" si="5"/>
        <v>0</v>
      </c>
      <c r="S52" s="9">
        <f t="shared" si="5"/>
        <v>0</v>
      </c>
    </row>
    <row r="53" spans="1:19" ht="24" x14ac:dyDescent="0.3">
      <c r="A53" s="7" t="s">
        <v>50</v>
      </c>
      <c r="B53" s="8">
        <v>4.5</v>
      </c>
      <c r="C53" s="8">
        <v>5.7</v>
      </c>
      <c r="D53" s="8">
        <v>0.8</v>
      </c>
      <c r="E53" s="8">
        <v>2.4</v>
      </c>
      <c r="F53" s="8">
        <v>0.3</v>
      </c>
      <c r="G53" s="8">
        <v>4.5</v>
      </c>
      <c r="H53" s="8">
        <v>0.3</v>
      </c>
      <c r="I53" s="9">
        <v>71</v>
      </c>
      <c r="J53" s="10"/>
      <c r="L53" s="8">
        <f t="shared" si="5"/>
        <v>0</v>
      </c>
      <c r="M53" s="8">
        <f t="shared" si="5"/>
        <v>0</v>
      </c>
      <c r="N53" s="8">
        <f t="shared" si="5"/>
        <v>0</v>
      </c>
      <c r="O53" s="8">
        <f t="shared" si="5"/>
        <v>0</v>
      </c>
      <c r="P53" s="8">
        <f t="shared" si="5"/>
        <v>0</v>
      </c>
      <c r="Q53" s="8">
        <f t="shared" si="5"/>
        <v>0</v>
      </c>
      <c r="R53" s="8">
        <f t="shared" si="5"/>
        <v>0</v>
      </c>
      <c r="S53" s="9">
        <f t="shared" si="5"/>
        <v>0</v>
      </c>
    </row>
    <row r="54" spans="1:19" x14ac:dyDescent="0.3">
      <c r="A54" s="7" t="s">
        <v>21</v>
      </c>
      <c r="B54" s="8">
        <v>6.5</v>
      </c>
      <c r="C54" s="8">
        <v>0.6</v>
      </c>
      <c r="D54" s="8">
        <v>0.6</v>
      </c>
      <c r="E54" s="8">
        <v>5.9</v>
      </c>
      <c r="F54" s="8">
        <v>1.8</v>
      </c>
      <c r="G54" s="8">
        <v>0</v>
      </c>
      <c r="H54" s="8">
        <v>0.1</v>
      </c>
      <c r="I54" s="9">
        <v>84</v>
      </c>
      <c r="J54" s="10"/>
      <c r="L54" s="8">
        <f t="shared" si="5"/>
        <v>0</v>
      </c>
      <c r="M54" s="8">
        <f t="shared" si="5"/>
        <v>0</v>
      </c>
      <c r="N54" s="8">
        <f t="shared" si="5"/>
        <v>0</v>
      </c>
      <c r="O54" s="8">
        <f t="shared" si="5"/>
        <v>0</v>
      </c>
      <c r="P54" s="8">
        <f t="shared" si="5"/>
        <v>0</v>
      </c>
      <c r="Q54" s="8">
        <f t="shared" si="5"/>
        <v>0</v>
      </c>
      <c r="R54" s="8">
        <f t="shared" si="5"/>
        <v>0</v>
      </c>
      <c r="S54" s="9">
        <f t="shared" si="5"/>
        <v>0</v>
      </c>
    </row>
    <row r="55" spans="1:19" x14ac:dyDescent="0.3">
      <c r="A55" s="7" t="s">
        <v>25</v>
      </c>
      <c r="B55" s="8">
        <v>5.4</v>
      </c>
      <c r="C55" s="8">
        <v>0.3</v>
      </c>
      <c r="D55" s="8">
        <v>0.3</v>
      </c>
      <c r="E55" s="8">
        <v>0</v>
      </c>
      <c r="F55" s="8">
        <v>1.9</v>
      </c>
      <c r="G55" s="8">
        <v>0</v>
      </c>
      <c r="H55" s="8">
        <v>0.26</v>
      </c>
      <c r="I55" s="9">
        <v>47</v>
      </c>
      <c r="J55" s="10"/>
      <c r="L55" s="8">
        <f t="shared" si="5"/>
        <v>0</v>
      </c>
      <c r="M55" s="8">
        <f t="shared" si="5"/>
        <v>0</v>
      </c>
      <c r="N55" s="8">
        <f t="shared" si="5"/>
        <v>0</v>
      </c>
      <c r="O55" s="8">
        <f t="shared" si="5"/>
        <v>0</v>
      </c>
      <c r="P55" s="8">
        <f t="shared" si="5"/>
        <v>0</v>
      </c>
      <c r="Q55" s="8">
        <f t="shared" si="5"/>
        <v>0</v>
      </c>
      <c r="R55" s="8">
        <f t="shared" si="5"/>
        <v>0</v>
      </c>
      <c r="S55" s="9">
        <f t="shared" si="5"/>
        <v>0</v>
      </c>
    </row>
    <row r="56" spans="1:19" x14ac:dyDescent="0.3">
      <c r="A56" s="7" t="s">
        <v>17</v>
      </c>
      <c r="B56" s="8">
        <v>0.7</v>
      </c>
      <c r="C56" s="8">
        <v>14.5</v>
      </c>
      <c r="D56" s="8">
        <v>0</v>
      </c>
      <c r="E56" s="8">
        <v>0.3</v>
      </c>
      <c r="F56" s="8">
        <v>0</v>
      </c>
      <c r="G56" s="8">
        <v>2.4</v>
      </c>
      <c r="H56" s="8">
        <v>0.01</v>
      </c>
      <c r="I56" s="9">
        <v>57</v>
      </c>
      <c r="J56" s="10"/>
      <c r="L56" s="8">
        <f t="shared" si="5"/>
        <v>0</v>
      </c>
      <c r="M56" s="8">
        <f t="shared" si="5"/>
        <v>0</v>
      </c>
      <c r="N56" s="8">
        <f t="shared" si="5"/>
        <v>0</v>
      </c>
      <c r="O56" s="8">
        <f t="shared" si="5"/>
        <v>0</v>
      </c>
      <c r="P56" s="8">
        <f t="shared" si="5"/>
        <v>0</v>
      </c>
      <c r="Q56" s="8">
        <f t="shared" si="5"/>
        <v>0</v>
      </c>
      <c r="R56" s="8">
        <f t="shared" si="5"/>
        <v>0</v>
      </c>
      <c r="S56" s="9">
        <f t="shared" si="5"/>
        <v>0</v>
      </c>
    </row>
    <row r="57" spans="1:19" x14ac:dyDescent="0.3">
      <c r="A57" s="7" t="s">
        <v>45</v>
      </c>
      <c r="B57" s="8">
        <v>4.3600000000000003</v>
      </c>
      <c r="C57" s="8">
        <v>2.74</v>
      </c>
      <c r="D57" s="8">
        <v>0.55000000000000004</v>
      </c>
      <c r="E57" s="8">
        <v>16.260000000000002</v>
      </c>
      <c r="F57" s="8">
        <v>1.44</v>
      </c>
      <c r="G57" s="8">
        <v>1.33</v>
      </c>
      <c r="H57" s="8">
        <v>5.0000000000000001E-3</v>
      </c>
      <c r="I57" s="9">
        <v>177.5</v>
      </c>
      <c r="J57" s="10"/>
      <c r="L57" s="8">
        <f t="shared" si="5"/>
        <v>0</v>
      </c>
      <c r="M57" s="8">
        <f t="shared" si="5"/>
        <v>0</v>
      </c>
      <c r="N57" s="8">
        <f t="shared" si="5"/>
        <v>0</v>
      </c>
      <c r="O57" s="8">
        <f t="shared" si="5"/>
        <v>0</v>
      </c>
      <c r="P57" s="8">
        <f t="shared" si="5"/>
        <v>0</v>
      </c>
      <c r="Q57" s="8">
        <f t="shared" si="5"/>
        <v>0</v>
      </c>
      <c r="R57" s="8">
        <f t="shared" si="5"/>
        <v>0</v>
      </c>
      <c r="S57" s="9">
        <f t="shared" si="5"/>
        <v>0</v>
      </c>
    </row>
    <row r="58" spans="1:19" x14ac:dyDescent="0.3">
      <c r="A58" s="7" t="s">
        <v>12</v>
      </c>
      <c r="B58" s="8">
        <v>0</v>
      </c>
      <c r="C58" s="8">
        <v>9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9">
        <v>29</v>
      </c>
      <c r="J58" s="10"/>
      <c r="L58" s="8">
        <f t="shared" si="5"/>
        <v>0</v>
      </c>
      <c r="M58" s="8">
        <f t="shared" si="5"/>
        <v>0</v>
      </c>
      <c r="N58" s="8">
        <f t="shared" si="5"/>
        <v>0</v>
      </c>
      <c r="O58" s="8">
        <f t="shared" si="5"/>
        <v>0</v>
      </c>
      <c r="P58" s="8">
        <f t="shared" si="5"/>
        <v>0</v>
      </c>
      <c r="Q58" s="8">
        <f t="shared" si="5"/>
        <v>0</v>
      </c>
      <c r="R58" s="8">
        <f t="shared" si="5"/>
        <v>0</v>
      </c>
      <c r="S58" s="9">
        <f t="shared" si="5"/>
        <v>0</v>
      </c>
    </row>
    <row r="59" spans="1:19" x14ac:dyDescent="0.3">
      <c r="A59" s="7" t="s">
        <v>24</v>
      </c>
      <c r="B59" s="8">
        <v>1.1000000000000001</v>
      </c>
      <c r="C59" s="8">
        <v>23</v>
      </c>
      <c r="D59" s="8">
        <v>0</v>
      </c>
      <c r="E59" s="8">
        <v>0.3</v>
      </c>
      <c r="F59" s="8">
        <v>0.1</v>
      </c>
      <c r="G59" s="8">
        <v>2.6</v>
      </c>
      <c r="H59" s="8">
        <v>1E-3</v>
      </c>
      <c r="I59" s="9">
        <v>89</v>
      </c>
      <c r="J59" s="10"/>
      <c r="L59" s="8">
        <f t="shared" si="5"/>
        <v>0</v>
      </c>
      <c r="M59" s="8">
        <f t="shared" si="5"/>
        <v>0</v>
      </c>
      <c r="N59" s="8">
        <f t="shared" si="5"/>
        <v>0</v>
      </c>
      <c r="O59" s="8">
        <f t="shared" si="5"/>
        <v>0</v>
      </c>
      <c r="P59" s="8">
        <f t="shared" si="5"/>
        <v>0</v>
      </c>
      <c r="Q59" s="8">
        <f t="shared" si="5"/>
        <v>0</v>
      </c>
      <c r="R59" s="8">
        <f t="shared" si="5"/>
        <v>0</v>
      </c>
      <c r="S59" s="9">
        <f t="shared" si="5"/>
        <v>0</v>
      </c>
    </row>
    <row r="60" spans="1:19" x14ac:dyDescent="0.3">
      <c r="A60" s="7" t="s">
        <v>51</v>
      </c>
      <c r="B60" s="8">
        <v>0.3</v>
      </c>
      <c r="C60" s="8">
        <v>14</v>
      </c>
      <c r="D60" s="8">
        <v>0</v>
      </c>
      <c r="E60" s="8">
        <v>0.2</v>
      </c>
      <c r="F60" s="8">
        <v>0</v>
      </c>
      <c r="G60" s="8">
        <v>2.4</v>
      </c>
      <c r="H60" s="8">
        <v>0.01</v>
      </c>
      <c r="I60" s="9">
        <v>52</v>
      </c>
      <c r="J60" s="10"/>
      <c r="L60" s="8">
        <f t="shared" si="5"/>
        <v>0</v>
      </c>
      <c r="M60" s="8">
        <f t="shared" si="5"/>
        <v>0</v>
      </c>
      <c r="N60" s="8">
        <f t="shared" si="5"/>
        <v>0</v>
      </c>
      <c r="O60" s="8">
        <f t="shared" si="5"/>
        <v>0</v>
      </c>
      <c r="P60" s="8">
        <f t="shared" si="5"/>
        <v>0</v>
      </c>
      <c r="Q60" s="8">
        <f t="shared" si="5"/>
        <v>0</v>
      </c>
      <c r="R60" s="8">
        <f t="shared" si="5"/>
        <v>0</v>
      </c>
      <c r="S60" s="9">
        <f t="shared" si="5"/>
        <v>0</v>
      </c>
    </row>
    <row r="61" spans="1:19" x14ac:dyDescent="0.3">
      <c r="A61" s="7" t="s">
        <v>52</v>
      </c>
      <c r="B61" s="8">
        <v>0.4</v>
      </c>
      <c r="C61" s="8">
        <v>12</v>
      </c>
      <c r="D61" s="8">
        <v>0</v>
      </c>
      <c r="E61" s="8">
        <v>0.5</v>
      </c>
      <c r="F61" s="8">
        <v>0</v>
      </c>
      <c r="G61" s="8">
        <v>2.9</v>
      </c>
      <c r="H61" s="8">
        <v>0</v>
      </c>
      <c r="I61" s="9">
        <v>61</v>
      </c>
      <c r="J61" s="10"/>
      <c r="L61" s="8">
        <f t="shared" si="5"/>
        <v>0</v>
      </c>
      <c r="M61" s="8">
        <f t="shared" si="5"/>
        <v>0</v>
      </c>
      <c r="N61" s="8">
        <f t="shared" si="5"/>
        <v>0</v>
      </c>
      <c r="O61" s="8">
        <f t="shared" si="5"/>
        <v>0</v>
      </c>
      <c r="P61" s="8">
        <f t="shared" si="5"/>
        <v>0</v>
      </c>
      <c r="Q61" s="8">
        <f t="shared" si="5"/>
        <v>0</v>
      </c>
      <c r="R61" s="8">
        <f t="shared" si="5"/>
        <v>0</v>
      </c>
      <c r="S61" s="9">
        <f t="shared" si="5"/>
        <v>0</v>
      </c>
    </row>
    <row r="62" spans="1:19" x14ac:dyDescent="0.3">
      <c r="A62" s="7" t="s">
        <v>53</v>
      </c>
      <c r="B62" s="8">
        <v>1.9</v>
      </c>
      <c r="C62" s="8">
        <v>25</v>
      </c>
      <c r="D62" s="8">
        <v>0</v>
      </c>
      <c r="E62" s="8">
        <v>0.4</v>
      </c>
      <c r="F62" s="8">
        <v>0</v>
      </c>
      <c r="G62" s="8">
        <v>5</v>
      </c>
      <c r="H62" s="8">
        <v>3.0000000000000001E-3</v>
      </c>
      <c r="I62" s="9">
        <v>99</v>
      </c>
      <c r="J62" s="10"/>
      <c r="L62" s="8">
        <f t="shared" si="5"/>
        <v>0</v>
      </c>
      <c r="M62" s="8">
        <f t="shared" si="5"/>
        <v>0</v>
      </c>
      <c r="N62" s="8">
        <f t="shared" si="5"/>
        <v>0</v>
      </c>
      <c r="O62" s="8">
        <f t="shared" si="5"/>
        <v>0</v>
      </c>
      <c r="P62" s="8">
        <f t="shared" si="5"/>
        <v>0</v>
      </c>
      <c r="Q62" s="8">
        <f t="shared" si="5"/>
        <v>0</v>
      </c>
      <c r="R62" s="8">
        <f t="shared" si="5"/>
        <v>0</v>
      </c>
      <c r="S62" s="9">
        <f t="shared" si="5"/>
        <v>0</v>
      </c>
    </row>
    <row r="63" spans="1:19" x14ac:dyDescent="0.3">
      <c r="A63" s="7" t="s">
        <v>17</v>
      </c>
      <c r="B63" s="8">
        <v>0.7</v>
      </c>
      <c r="C63" s="8">
        <v>14.5</v>
      </c>
      <c r="D63" s="8">
        <v>0</v>
      </c>
      <c r="E63" s="8">
        <v>0.3</v>
      </c>
      <c r="F63" s="8">
        <v>0</v>
      </c>
      <c r="G63" s="8">
        <v>2.4</v>
      </c>
      <c r="H63" s="8">
        <v>0.01</v>
      </c>
      <c r="I63" s="9">
        <v>57</v>
      </c>
      <c r="J63" s="10"/>
      <c r="L63" s="8">
        <f t="shared" si="5"/>
        <v>0</v>
      </c>
      <c r="M63" s="8">
        <f t="shared" si="5"/>
        <v>0</v>
      </c>
      <c r="N63" s="8">
        <f t="shared" si="5"/>
        <v>0</v>
      </c>
      <c r="O63" s="8">
        <f t="shared" si="5"/>
        <v>0</v>
      </c>
      <c r="P63" s="8">
        <f t="shared" si="5"/>
        <v>0</v>
      </c>
      <c r="Q63" s="8">
        <f t="shared" si="5"/>
        <v>0</v>
      </c>
      <c r="R63" s="8">
        <f t="shared" si="5"/>
        <v>0</v>
      </c>
      <c r="S63" s="9">
        <f t="shared" si="5"/>
        <v>0</v>
      </c>
    </row>
    <row r="64" spans="1:19" x14ac:dyDescent="0.3">
      <c r="A64" s="7" t="s">
        <v>54</v>
      </c>
      <c r="B64" s="8">
        <v>1.2</v>
      </c>
      <c r="C64" s="8">
        <v>11.9</v>
      </c>
      <c r="D64" s="8">
        <v>0</v>
      </c>
      <c r="E64" s="8">
        <v>0.7</v>
      </c>
      <c r="F64" s="8">
        <v>0</v>
      </c>
      <c r="G64" s="8">
        <v>6.5</v>
      </c>
      <c r="H64" s="8">
        <v>1E-3</v>
      </c>
      <c r="I64" s="9">
        <v>52</v>
      </c>
      <c r="J64" s="10"/>
      <c r="L64" s="8">
        <f t="shared" si="5"/>
        <v>0</v>
      </c>
      <c r="M64" s="8">
        <f t="shared" si="5"/>
        <v>0</v>
      </c>
      <c r="N64" s="8">
        <f t="shared" si="5"/>
        <v>0</v>
      </c>
      <c r="O64" s="8">
        <f t="shared" si="5"/>
        <v>0</v>
      </c>
      <c r="P64" s="8">
        <f t="shared" si="5"/>
        <v>0</v>
      </c>
      <c r="Q64" s="8">
        <f t="shared" si="5"/>
        <v>0</v>
      </c>
      <c r="R64" s="8">
        <f t="shared" si="5"/>
        <v>0</v>
      </c>
      <c r="S64" s="9">
        <f t="shared" si="5"/>
        <v>0</v>
      </c>
    </row>
    <row r="65" spans="1:19" x14ac:dyDescent="0.3">
      <c r="A65" s="7" t="s">
        <v>55</v>
      </c>
      <c r="B65" s="8">
        <v>17</v>
      </c>
      <c r="C65" s="8">
        <v>10.1</v>
      </c>
      <c r="D65" s="8">
        <v>7.2</v>
      </c>
      <c r="E65" s="8">
        <v>4</v>
      </c>
      <c r="F65" s="8">
        <v>3</v>
      </c>
      <c r="G65" s="8">
        <v>1.8</v>
      </c>
      <c r="H65" s="8">
        <v>0.5</v>
      </c>
      <c r="I65" s="9">
        <v>149</v>
      </c>
      <c r="J65" s="10">
        <v>1</v>
      </c>
      <c r="L65" s="8">
        <f t="shared" si="5"/>
        <v>17</v>
      </c>
      <c r="M65" s="8">
        <f t="shared" si="5"/>
        <v>10.1</v>
      </c>
      <c r="N65" s="8">
        <f t="shared" si="5"/>
        <v>7.2</v>
      </c>
      <c r="O65" s="8">
        <f t="shared" si="5"/>
        <v>4</v>
      </c>
      <c r="P65" s="8">
        <f t="shared" si="5"/>
        <v>3</v>
      </c>
      <c r="Q65" s="8">
        <f t="shared" si="5"/>
        <v>1.8</v>
      </c>
      <c r="R65" s="8">
        <f t="shared" si="5"/>
        <v>0.5</v>
      </c>
      <c r="S65" s="9">
        <f t="shared" si="5"/>
        <v>149</v>
      </c>
    </row>
    <row r="66" spans="1:19" x14ac:dyDescent="0.3">
      <c r="A66" s="7" t="s">
        <v>56</v>
      </c>
      <c r="B66" s="8">
        <v>15</v>
      </c>
      <c r="C66" s="8">
        <v>9.6</v>
      </c>
      <c r="D66" s="8">
        <v>4.8</v>
      </c>
      <c r="E66" s="8">
        <v>3</v>
      </c>
      <c r="F66" s="8">
        <v>1.95</v>
      </c>
      <c r="G66" s="8">
        <v>2.7</v>
      </c>
      <c r="H66" s="8">
        <v>0.435</v>
      </c>
      <c r="I66" s="9">
        <v>130.5</v>
      </c>
      <c r="J66" s="10"/>
      <c r="L66" s="8">
        <f t="shared" si="5"/>
        <v>0</v>
      </c>
      <c r="M66" s="8">
        <f t="shared" si="5"/>
        <v>0</v>
      </c>
      <c r="N66" s="8">
        <f t="shared" si="5"/>
        <v>0</v>
      </c>
      <c r="O66" s="8">
        <f t="shared" si="5"/>
        <v>0</v>
      </c>
      <c r="P66" s="8">
        <f t="shared" si="5"/>
        <v>0</v>
      </c>
      <c r="Q66" s="8">
        <f t="shared" si="5"/>
        <v>0</v>
      </c>
      <c r="R66" s="8">
        <f t="shared" si="5"/>
        <v>0</v>
      </c>
      <c r="S66" s="9">
        <f t="shared" si="5"/>
        <v>0</v>
      </c>
    </row>
    <row r="67" spans="1:19" ht="24" x14ac:dyDescent="0.3">
      <c r="A67" s="7" t="s">
        <v>57</v>
      </c>
      <c r="B67" s="8">
        <v>1.4</v>
      </c>
      <c r="C67" s="8">
        <v>6.48</v>
      </c>
      <c r="D67" s="8">
        <v>0.1</v>
      </c>
      <c r="E67" s="8">
        <v>0.22</v>
      </c>
      <c r="F67" s="8">
        <v>0.05</v>
      </c>
      <c r="G67" s="8">
        <v>1</v>
      </c>
      <c r="H67" s="8">
        <v>1E-3</v>
      </c>
      <c r="I67" s="9">
        <v>35.700000000000003</v>
      </c>
      <c r="J67" s="10"/>
      <c r="L67" s="8">
        <f t="shared" si="5"/>
        <v>0</v>
      </c>
      <c r="M67" s="8">
        <f t="shared" si="5"/>
        <v>0</v>
      </c>
      <c r="N67" s="8">
        <f t="shared" si="5"/>
        <v>0</v>
      </c>
      <c r="O67" s="8">
        <f t="shared" si="5"/>
        <v>0</v>
      </c>
      <c r="P67" s="8">
        <f t="shared" si="5"/>
        <v>0</v>
      </c>
      <c r="Q67" s="8">
        <f t="shared" si="5"/>
        <v>0</v>
      </c>
      <c r="R67" s="8">
        <f t="shared" si="5"/>
        <v>0</v>
      </c>
      <c r="S67" s="9">
        <f t="shared" si="5"/>
        <v>0</v>
      </c>
    </row>
    <row r="68" spans="1:19" x14ac:dyDescent="0.3">
      <c r="A68" s="11" t="s">
        <v>58</v>
      </c>
      <c r="B68" s="12">
        <v>1.1000000000000001</v>
      </c>
      <c r="C68" s="12">
        <v>17</v>
      </c>
      <c r="D68" s="12">
        <v>12</v>
      </c>
      <c r="E68" s="12">
        <v>2.2999999999999998</v>
      </c>
      <c r="F68" s="12">
        <v>1.9</v>
      </c>
      <c r="G68" s="12">
        <v>1.4</v>
      </c>
      <c r="H68" s="12">
        <v>0.06</v>
      </c>
      <c r="I68" s="13">
        <v>98</v>
      </c>
      <c r="J68" s="10"/>
      <c r="L68" s="8">
        <f t="shared" si="5"/>
        <v>0</v>
      </c>
      <c r="M68" s="8">
        <f t="shared" si="5"/>
        <v>0</v>
      </c>
      <c r="N68" s="8">
        <f t="shared" si="5"/>
        <v>0</v>
      </c>
      <c r="O68" s="8">
        <f t="shared" si="5"/>
        <v>0</v>
      </c>
      <c r="P68" s="8">
        <f t="shared" si="5"/>
        <v>0</v>
      </c>
      <c r="Q68" s="8">
        <f t="shared" si="5"/>
        <v>0</v>
      </c>
      <c r="R68" s="8">
        <f t="shared" si="5"/>
        <v>0</v>
      </c>
      <c r="S68" s="9">
        <f t="shared" si="5"/>
        <v>0</v>
      </c>
    </row>
    <row r="69" spans="1:19" x14ac:dyDescent="0.3">
      <c r="A69" s="7" t="s">
        <v>59</v>
      </c>
      <c r="B69" s="8">
        <v>5.9</v>
      </c>
      <c r="C69" s="8">
        <v>73</v>
      </c>
      <c r="D69" s="8">
        <v>5.3</v>
      </c>
      <c r="E69" s="8">
        <v>13</v>
      </c>
      <c r="F69" s="8">
        <v>1.4</v>
      </c>
      <c r="G69" s="8">
        <v>6.2</v>
      </c>
      <c r="H69" s="8">
        <v>0.84</v>
      </c>
      <c r="I69" s="9">
        <v>442</v>
      </c>
      <c r="J69" s="10"/>
      <c r="L69" s="8">
        <f t="shared" ref="L69:S84" si="6">B69*$J69</f>
        <v>0</v>
      </c>
      <c r="M69" s="8">
        <f t="shared" si="6"/>
        <v>0</v>
      </c>
      <c r="N69" s="8">
        <f t="shared" si="6"/>
        <v>0</v>
      </c>
      <c r="O69" s="8">
        <f t="shared" si="6"/>
        <v>0</v>
      </c>
      <c r="P69" s="8">
        <f t="shared" si="6"/>
        <v>0</v>
      </c>
      <c r="Q69" s="8">
        <f t="shared" si="6"/>
        <v>0</v>
      </c>
      <c r="R69" s="8">
        <f t="shared" si="6"/>
        <v>0</v>
      </c>
      <c r="S69" s="9">
        <f t="shared" si="6"/>
        <v>0</v>
      </c>
    </row>
    <row r="70" spans="1:19" ht="24" x14ac:dyDescent="0.3">
      <c r="A70" s="7" t="s">
        <v>60</v>
      </c>
      <c r="B70" s="8">
        <v>2.5</v>
      </c>
      <c r="C70" s="8">
        <v>1.5</v>
      </c>
      <c r="D70" s="8">
        <v>0</v>
      </c>
      <c r="E70" s="8">
        <v>5</v>
      </c>
      <c r="F70" s="8">
        <v>0.65</v>
      </c>
      <c r="G70" s="8">
        <v>1.1000000000000001</v>
      </c>
      <c r="H70" s="8">
        <v>1E-3</v>
      </c>
      <c r="I70" s="9">
        <v>61.4</v>
      </c>
      <c r="J70" s="10"/>
      <c r="L70" s="8">
        <f t="shared" si="6"/>
        <v>0</v>
      </c>
      <c r="M70" s="8">
        <f t="shared" si="6"/>
        <v>0</v>
      </c>
      <c r="N70" s="8">
        <f t="shared" si="6"/>
        <v>0</v>
      </c>
      <c r="O70" s="8">
        <f t="shared" si="6"/>
        <v>0</v>
      </c>
      <c r="P70" s="8">
        <f t="shared" si="6"/>
        <v>0</v>
      </c>
      <c r="Q70" s="8">
        <f t="shared" si="6"/>
        <v>0</v>
      </c>
      <c r="R70" s="8">
        <f t="shared" si="6"/>
        <v>0</v>
      </c>
      <c r="S70" s="9">
        <f t="shared" si="6"/>
        <v>0</v>
      </c>
    </row>
    <row r="71" spans="1:19" x14ac:dyDescent="0.3">
      <c r="A71" s="7" t="s">
        <v>61</v>
      </c>
      <c r="B71" s="8">
        <v>2</v>
      </c>
      <c r="C71" s="8">
        <v>2.2000000000000002</v>
      </c>
      <c r="D71" s="8">
        <v>0</v>
      </c>
      <c r="E71" s="8">
        <v>0.49</v>
      </c>
      <c r="F71" s="8">
        <v>0.86</v>
      </c>
      <c r="G71" s="8">
        <v>0.53</v>
      </c>
      <c r="H71" s="8">
        <v>1E-3</v>
      </c>
      <c r="I71" s="9">
        <v>61.9</v>
      </c>
      <c r="J71" s="10"/>
      <c r="L71" s="8">
        <f t="shared" si="6"/>
        <v>0</v>
      </c>
      <c r="M71" s="8">
        <f t="shared" si="6"/>
        <v>0</v>
      </c>
      <c r="N71" s="8">
        <f t="shared" si="6"/>
        <v>0</v>
      </c>
      <c r="O71" s="8">
        <f t="shared" si="6"/>
        <v>0</v>
      </c>
      <c r="P71" s="8">
        <f t="shared" si="6"/>
        <v>0</v>
      </c>
      <c r="Q71" s="8">
        <f t="shared" si="6"/>
        <v>0</v>
      </c>
      <c r="R71" s="8">
        <f t="shared" si="6"/>
        <v>0</v>
      </c>
      <c r="S71" s="9">
        <f t="shared" si="6"/>
        <v>0</v>
      </c>
    </row>
    <row r="72" spans="1:19" ht="24" x14ac:dyDescent="0.3">
      <c r="A72" s="7" t="s">
        <v>62</v>
      </c>
      <c r="B72" s="8">
        <v>3.5</v>
      </c>
      <c r="C72" s="8">
        <v>2.2000000000000002</v>
      </c>
      <c r="D72" s="8">
        <v>0</v>
      </c>
      <c r="E72" s="8">
        <v>4.5</v>
      </c>
      <c r="F72" s="8">
        <v>0.88</v>
      </c>
      <c r="G72" s="8">
        <v>0.79</v>
      </c>
      <c r="H72" s="8">
        <v>3.0000000000000001E-3</v>
      </c>
      <c r="I72" s="9">
        <v>56.9</v>
      </c>
      <c r="J72" s="10"/>
      <c r="L72" s="8">
        <f t="shared" si="6"/>
        <v>0</v>
      </c>
      <c r="M72" s="8">
        <f t="shared" si="6"/>
        <v>0</v>
      </c>
      <c r="N72" s="8">
        <f t="shared" si="6"/>
        <v>0</v>
      </c>
      <c r="O72" s="8">
        <f t="shared" si="6"/>
        <v>0</v>
      </c>
      <c r="P72" s="8">
        <f t="shared" si="6"/>
        <v>0</v>
      </c>
      <c r="Q72" s="8">
        <f t="shared" si="6"/>
        <v>0</v>
      </c>
      <c r="R72" s="8">
        <f t="shared" si="6"/>
        <v>0</v>
      </c>
      <c r="S72" s="9">
        <f t="shared" si="6"/>
        <v>0</v>
      </c>
    </row>
    <row r="73" spans="1:19" ht="36" x14ac:dyDescent="0.3">
      <c r="A73" s="7" t="s">
        <v>63</v>
      </c>
      <c r="B73" s="8">
        <v>3.3</v>
      </c>
      <c r="C73" s="8">
        <v>0.36</v>
      </c>
      <c r="D73" s="8">
        <v>0</v>
      </c>
      <c r="E73" s="8">
        <v>0.48</v>
      </c>
      <c r="F73" s="8">
        <v>0.52</v>
      </c>
      <c r="G73" s="8">
        <v>0.6</v>
      </c>
      <c r="H73" s="8">
        <v>7.0000000000000001E-3</v>
      </c>
      <c r="I73" s="9">
        <v>59</v>
      </c>
      <c r="J73" s="10"/>
      <c r="L73" s="8">
        <f t="shared" si="6"/>
        <v>0</v>
      </c>
      <c r="M73" s="8">
        <f t="shared" si="6"/>
        <v>0</v>
      </c>
      <c r="N73" s="8">
        <f t="shared" si="6"/>
        <v>0</v>
      </c>
      <c r="O73" s="8">
        <f t="shared" si="6"/>
        <v>0</v>
      </c>
      <c r="P73" s="8">
        <f t="shared" si="6"/>
        <v>0</v>
      </c>
      <c r="Q73" s="8">
        <f t="shared" si="6"/>
        <v>0</v>
      </c>
      <c r="R73" s="8">
        <f t="shared" si="6"/>
        <v>0</v>
      </c>
      <c r="S73" s="9">
        <f t="shared" si="6"/>
        <v>0</v>
      </c>
    </row>
    <row r="74" spans="1:19" ht="24" x14ac:dyDescent="0.3">
      <c r="A74" s="7" t="s">
        <v>64</v>
      </c>
      <c r="B74" s="8">
        <v>2.2799999999999998</v>
      </c>
      <c r="C74" s="8">
        <v>1.88</v>
      </c>
      <c r="D74" s="8">
        <v>0</v>
      </c>
      <c r="E74" s="8">
        <v>4.96</v>
      </c>
      <c r="F74" s="8">
        <v>0.52</v>
      </c>
      <c r="G74" s="8">
        <v>1.05</v>
      </c>
      <c r="H74" s="8">
        <v>3.0000000000000001E-3</v>
      </c>
      <c r="I74" s="9">
        <v>63.4</v>
      </c>
      <c r="J74" s="10"/>
      <c r="L74" s="8">
        <f t="shared" si="6"/>
        <v>0</v>
      </c>
      <c r="M74" s="8">
        <f t="shared" si="6"/>
        <v>0</v>
      </c>
      <c r="N74" s="8">
        <f t="shared" si="6"/>
        <v>0</v>
      </c>
      <c r="O74" s="8">
        <f t="shared" si="6"/>
        <v>0</v>
      </c>
      <c r="P74" s="8">
        <f t="shared" si="6"/>
        <v>0</v>
      </c>
      <c r="Q74" s="8">
        <f t="shared" si="6"/>
        <v>0</v>
      </c>
      <c r="R74" s="8">
        <f t="shared" si="6"/>
        <v>0</v>
      </c>
      <c r="S74" s="9">
        <f t="shared" si="6"/>
        <v>0</v>
      </c>
    </row>
    <row r="75" spans="1:19" x14ac:dyDescent="0.3">
      <c r="A75" s="7" t="s">
        <v>15</v>
      </c>
      <c r="B75" s="8">
        <v>0.36</v>
      </c>
      <c r="C75" s="8">
        <v>7.0000000000000007E-2</v>
      </c>
      <c r="D75" s="8">
        <v>0</v>
      </c>
      <c r="E75" s="8">
        <v>0.08</v>
      </c>
      <c r="F75" s="8"/>
      <c r="G75" s="8">
        <v>0.21</v>
      </c>
      <c r="H75" s="8">
        <v>1.2999999999999999E-2</v>
      </c>
      <c r="I75" s="9">
        <v>11.8</v>
      </c>
      <c r="J75" s="10"/>
      <c r="L75" s="8">
        <f t="shared" si="6"/>
        <v>0</v>
      </c>
      <c r="M75" s="8">
        <f t="shared" si="6"/>
        <v>0</v>
      </c>
      <c r="N75" s="8">
        <f t="shared" si="6"/>
        <v>0</v>
      </c>
      <c r="O75" s="8">
        <f t="shared" si="6"/>
        <v>0</v>
      </c>
      <c r="P75" s="8">
        <f t="shared" si="6"/>
        <v>0</v>
      </c>
      <c r="Q75" s="8">
        <f t="shared" si="6"/>
        <v>0</v>
      </c>
      <c r="R75" s="8">
        <f t="shared" si="6"/>
        <v>0</v>
      </c>
      <c r="S75" s="9">
        <f t="shared" si="6"/>
        <v>0</v>
      </c>
    </row>
    <row r="76" spans="1:19" ht="24" x14ac:dyDescent="0.3">
      <c r="A76" s="7" t="s">
        <v>171</v>
      </c>
      <c r="B76" s="8">
        <v>17.850000000000001</v>
      </c>
      <c r="C76" s="8">
        <v>0.6</v>
      </c>
      <c r="D76" s="8">
        <v>0.4</v>
      </c>
      <c r="E76" s="8">
        <v>6.8</v>
      </c>
      <c r="F76" s="8">
        <v>1.87</v>
      </c>
      <c r="G76" s="8">
        <v>0.5</v>
      </c>
      <c r="H76" s="8">
        <v>0.75</v>
      </c>
      <c r="I76" s="9">
        <v>133</v>
      </c>
      <c r="J76" s="10">
        <v>1</v>
      </c>
      <c r="L76" s="8">
        <f t="shared" si="6"/>
        <v>17.850000000000001</v>
      </c>
      <c r="M76" s="8">
        <f t="shared" si="6"/>
        <v>0.6</v>
      </c>
      <c r="N76" s="8">
        <f t="shared" si="6"/>
        <v>0.4</v>
      </c>
      <c r="O76" s="8">
        <f t="shared" si="6"/>
        <v>6.8</v>
      </c>
      <c r="P76" s="8">
        <f t="shared" si="6"/>
        <v>1.87</v>
      </c>
      <c r="Q76" s="8">
        <f t="shared" si="6"/>
        <v>0.5</v>
      </c>
      <c r="R76" s="8">
        <f t="shared" si="6"/>
        <v>0.75</v>
      </c>
      <c r="S76" s="9">
        <f t="shared" si="6"/>
        <v>133</v>
      </c>
    </row>
    <row r="77" spans="1:19" ht="24" x14ac:dyDescent="0.3">
      <c r="A77" s="7" t="s">
        <v>65</v>
      </c>
      <c r="B77" s="8">
        <v>3</v>
      </c>
      <c r="C77" s="8">
        <v>1.2</v>
      </c>
      <c r="D77" s="8">
        <v>0</v>
      </c>
      <c r="E77" s="8">
        <v>5.3</v>
      </c>
      <c r="F77" s="8">
        <v>0.88</v>
      </c>
      <c r="G77" s="8">
        <v>0.68</v>
      </c>
      <c r="H77" s="8">
        <v>1E-3</v>
      </c>
      <c r="I77" s="9">
        <v>65.8</v>
      </c>
      <c r="J77" s="10"/>
      <c r="L77" s="8">
        <f t="shared" si="6"/>
        <v>0</v>
      </c>
      <c r="M77" s="8">
        <f t="shared" si="6"/>
        <v>0</v>
      </c>
      <c r="N77" s="8">
        <f t="shared" si="6"/>
        <v>0</v>
      </c>
      <c r="O77" s="8">
        <f t="shared" si="6"/>
        <v>0</v>
      </c>
      <c r="P77" s="8">
        <f t="shared" si="6"/>
        <v>0</v>
      </c>
      <c r="Q77" s="8">
        <f t="shared" si="6"/>
        <v>0</v>
      </c>
      <c r="R77" s="8">
        <f t="shared" si="6"/>
        <v>0</v>
      </c>
      <c r="S77" s="9">
        <f t="shared" si="6"/>
        <v>0</v>
      </c>
    </row>
    <row r="78" spans="1:19" ht="24" x14ac:dyDescent="0.3">
      <c r="A78" s="11" t="s">
        <v>18</v>
      </c>
      <c r="B78" s="8">
        <v>1.6</v>
      </c>
      <c r="C78" s="8">
        <v>6.2</v>
      </c>
      <c r="D78" s="8">
        <v>0</v>
      </c>
      <c r="E78" s="8">
        <v>3.1</v>
      </c>
      <c r="F78" s="8">
        <v>0.3</v>
      </c>
      <c r="G78" s="8">
        <v>3.7</v>
      </c>
      <c r="H78" s="8">
        <v>5.0000000000000001E-3</v>
      </c>
      <c r="I78" s="9">
        <v>44</v>
      </c>
      <c r="J78" s="10"/>
      <c r="L78" s="8">
        <f t="shared" si="6"/>
        <v>0</v>
      </c>
      <c r="M78" s="8">
        <f t="shared" si="6"/>
        <v>0</v>
      </c>
      <c r="N78" s="8">
        <f t="shared" si="6"/>
        <v>0</v>
      </c>
      <c r="O78" s="8">
        <f t="shared" si="6"/>
        <v>0</v>
      </c>
      <c r="P78" s="8">
        <f t="shared" si="6"/>
        <v>0</v>
      </c>
      <c r="Q78" s="8">
        <f t="shared" si="6"/>
        <v>0</v>
      </c>
      <c r="R78" s="8">
        <f t="shared" si="6"/>
        <v>0</v>
      </c>
      <c r="S78" s="9">
        <f t="shared" si="6"/>
        <v>0</v>
      </c>
    </row>
    <row r="79" spans="1:19" ht="24" x14ac:dyDescent="0.3">
      <c r="A79" s="7" t="s">
        <v>19</v>
      </c>
      <c r="B79" s="8">
        <v>2.0699999999999998</v>
      </c>
      <c r="C79" s="8">
        <v>4.74</v>
      </c>
      <c r="D79" s="8">
        <v>0.08</v>
      </c>
      <c r="E79" s="8">
        <v>0.96</v>
      </c>
      <c r="F79" s="8">
        <v>0.15</v>
      </c>
      <c r="G79" s="8">
        <v>0.96</v>
      </c>
      <c r="H79" s="8">
        <v>0.05</v>
      </c>
      <c r="I79" s="9">
        <v>37.799999999999997</v>
      </c>
      <c r="J79" s="10"/>
      <c r="L79" s="8">
        <f t="shared" si="6"/>
        <v>0</v>
      </c>
      <c r="M79" s="8">
        <f t="shared" si="6"/>
        <v>0</v>
      </c>
      <c r="N79" s="8">
        <f t="shared" si="6"/>
        <v>0</v>
      </c>
      <c r="O79" s="8">
        <f t="shared" si="6"/>
        <v>0</v>
      </c>
      <c r="P79" s="8">
        <f t="shared" si="6"/>
        <v>0</v>
      </c>
      <c r="Q79" s="8">
        <f t="shared" si="6"/>
        <v>0</v>
      </c>
      <c r="R79" s="8">
        <f t="shared" si="6"/>
        <v>0</v>
      </c>
      <c r="S79" s="9">
        <f t="shared" si="6"/>
        <v>0</v>
      </c>
    </row>
    <row r="80" spans="1:19" x14ac:dyDescent="0.3">
      <c r="A80" s="7" t="s">
        <v>20</v>
      </c>
      <c r="B80" s="8">
        <v>1.1000000000000001</v>
      </c>
      <c r="C80" s="8">
        <v>15</v>
      </c>
      <c r="D80" s="8">
        <v>0</v>
      </c>
      <c r="E80" s="8">
        <v>0.5</v>
      </c>
      <c r="F80" s="8">
        <v>0</v>
      </c>
      <c r="G80" s="8">
        <v>3</v>
      </c>
      <c r="H80" s="8">
        <v>3.0000000000000001E-3</v>
      </c>
      <c r="I80" s="9">
        <v>61</v>
      </c>
      <c r="J80" s="10"/>
      <c r="L80" s="8">
        <f t="shared" si="6"/>
        <v>0</v>
      </c>
      <c r="M80" s="8">
        <f t="shared" si="6"/>
        <v>0</v>
      </c>
      <c r="N80" s="8">
        <f t="shared" si="6"/>
        <v>0</v>
      </c>
      <c r="O80" s="8">
        <f t="shared" si="6"/>
        <v>0</v>
      </c>
      <c r="P80" s="8">
        <f t="shared" si="6"/>
        <v>0</v>
      </c>
      <c r="Q80" s="8">
        <f t="shared" si="6"/>
        <v>0</v>
      </c>
      <c r="R80" s="8">
        <f t="shared" si="6"/>
        <v>0</v>
      </c>
      <c r="S80" s="9">
        <f t="shared" si="6"/>
        <v>0</v>
      </c>
    </row>
    <row r="81" spans="1:22" ht="24" x14ac:dyDescent="0.3">
      <c r="A81" s="7" t="s">
        <v>34</v>
      </c>
      <c r="B81" s="8">
        <v>19.600000000000001</v>
      </c>
      <c r="C81" s="8">
        <v>5.8</v>
      </c>
      <c r="D81" s="8">
        <v>2.2999999999999998</v>
      </c>
      <c r="E81" s="8">
        <v>7.5</v>
      </c>
      <c r="F81" s="8">
        <v>0.7</v>
      </c>
      <c r="G81" s="8">
        <v>5.9</v>
      </c>
      <c r="H81" s="8">
        <v>1.3</v>
      </c>
      <c r="I81" s="9">
        <v>181</v>
      </c>
      <c r="J81" s="10"/>
      <c r="L81" s="8">
        <f t="shared" si="6"/>
        <v>0</v>
      </c>
      <c r="M81" s="8">
        <f t="shared" si="6"/>
        <v>0</v>
      </c>
      <c r="N81" s="8">
        <f t="shared" si="6"/>
        <v>0</v>
      </c>
      <c r="O81" s="8">
        <f t="shared" si="6"/>
        <v>0</v>
      </c>
      <c r="P81" s="8">
        <f t="shared" si="6"/>
        <v>0</v>
      </c>
      <c r="Q81" s="8">
        <f t="shared" si="6"/>
        <v>0</v>
      </c>
      <c r="R81" s="8">
        <f t="shared" si="6"/>
        <v>0</v>
      </c>
      <c r="S81" s="9">
        <f t="shared" si="6"/>
        <v>0</v>
      </c>
    </row>
    <row r="82" spans="1:22" ht="24" x14ac:dyDescent="0.3">
      <c r="A82" s="7" t="s">
        <v>35</v>
      </c>
      <c r="B82" s="8">
        <v>16.2</v>
      </c>
      <c r="C82" s="8">
        <v>5.2</v>
      </c>
      <c r="D82" s="8">
        <v>3.3</v>
      </c>
      <c r="E82" s="8">
        <v>14.4</v>
      </c>
      <c r="F82" s="8">
        <v>1</v>
      </c>
      <c r="G82" s="8">
        <v>5.9</v>
      </c>
      <c r="H82" s="8">
        <v>1</v>
      </c>
      <c r="I82" s="9">
        <v>227</v>
      </c>
      <c r="J82" s="10"/>
      <c r="L82" s="8">
        <f t="shared" si="6"/>
        <v>0</v>
      </c>
      <c r="M82" s="8">
        <f t="shared" si="6"/>
        <v>0</v>
      </c>
      <c r="N82" s="8">
        <f t="shared" si="6"/>
        <v>0</v>
      </c>
      <c r="O82" s="8">
        <f t="shared" si="6"/>
        <v>0</v>
      </c>
      <c r="P82" s="8">
        <f t="shared" si="6"/>
        <v>0</v>
      </c>
      <c r="Q82" s="8">
        <f t="shared" si="6"/>
        <v>0</v>
      </c>
      <c r="R82" s="8">
        <f t="shared" si="6"/>
        <v>0</v>
      </c>
      <c r="S82" s="9">
        <f t="shared" si="6"/>
        <v>0</v>
      </c>
    </row>
    <row r="83" spans="1:22" ht="24" x14ac:dyDescent="0.3">
      <c r="A83" s="7" t="s">
        <v>66</v>
      </c>
      <c r="B83" s="8">
        <v>0.6</v>
      </c>
      <c r="C83" s="8">
        <v>19</v>
      </c>
      <c r="D83" s="8">
        <v>0</v>
      </c>
      <c r="E83" s="8">
        <v>0.2</v>
      </c>
      <c r="F83" s="8">
        <v>0</v>
      </c>
      <c r="G83" s="8">
        <v>4.2</v>
      </c>
      <c r="H83" s="8">
        <v>0</v>
      </c>
      <c r="I83" s="9">
        <v>75</v>
      </c>
      <c r="J83" s="10"/>
      <c r="L83" s="8">
        <f t="shared" si="6"/>
        <v>0</v>
      </c>
      <c r="M83" s="8">
        <f t="shared" si="6"/>
        <v>0</v>
      </c>
      <c r="N83" s="8">
        <f t="shared" si="6"/>
        <v>0</v>
      </c>
      <c r="O83" s="8">
        <f t="shared" si="6"/>
        <v>0</v>
      </c>
      <c r="P83" s="8">
        <f t="shared" si="6"/>
        <v>0</v>
      </c>
      <c r="Q83" s="8">
        <f t="shared" si="6"/>
        <v>0</v>
      </c>
      <c r="R83" s="8">
        <f t="shared" si="6"/>
        <v>0</v>
      </c>
      <c r="S83" s="9">
        <f t="shared" si="6"/>
        <v>0</v>
      </c>
    </row>
    <row r="84" spans="1:22" x14ac:dyDescent="0.3">
      <c r="A84" s="7" t="s">
        <v>67</v>
      </c>
      <c r="B84" s="8">
        <v>10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0.13</v>
      </c>
      <c r="I84" s="9">
        <v>40</v>
      </c>
      <c r="J84" s="10"/>
      <c r="L84" s="8">
        <f t="shared" si="6"/>
        <v>0</v>
      </c>
      <c r="M84" s="8">
        <f t="shared" si="6"/>
        <v>0</v>
      </c>
      <c r="N84" s="8">
        <f t="shared" si="6"/>
        <v>0</v>
      </c>
      <c r="O84" s="8">
        <f t="shared" si="6"/>
        <v>0</v>
      </c>
      <c r="P84" s="8">
        <f t="shared" si="6"/>
        <v>0</v>
      </c>
      <c r="Q84" s="8">
        <f t="shared" si="6"/>
        <v>0</v>
      </c>
      <c r="R84" s="8">
        <f t="shared" si="6"/>
        <v>0</v>
      </c>
      <c r="S84" s="9">
        <f t="shared" si="6"/>
        <v>0</v>
      </c>
    </row>
    <row r="85" spans="1:22" ht="24" x14ac:dyDescent="0.3">
      <c r="A85" s="7" t="s">
        <v>68</v>
      </c>
      <c r="B85" s="8">
        <v>31</v>
      </c>
      <c r="C85" s="8">
        <v>42</v>
      </c>
      <c r="D85" s="8">
        <v>6.2</v>
      </c>
      <c r="E85" s="8">
        <v>10</v>
      </c>
      <c r="F85" s="8">
        <v>2.2000000000000002</v>
      </c>
      <c r="G85" s="8">
        <v>3.9</v>
      </c>
      <c r="H85" s="8">
        <v>1.8</v>
      </c>
      <c r="I85" s="9">
        <v>392</v>
      </c>
      <c r="J85" s="10"/>
      <c r="L85" s="8">
        <f t="shared" ref="L85:S87" si="7">B85*$J85</f>
        <v>0</v>
      </c>
      <c r="M85" s="8">
        <f t="shared" si="7"/>
        <v>0</v>
      </c>
      <c r="N85" s="8">
        <f t="shared" si="7"/>
        <v>0</v>
      </c>
      <c r="O85" s="8">
        <f t="shared" si="7"/>
        <v>0</v>
      </c>
      <c r="P85" s="8">
        <f t="shared" si="7"/>
        <v>0</v>
      </c>
      <c r="Q85" s="8">
        <f t="shared" si="7"/>
        <v>0</v>
      </c>
      <c r="R85" s="8">
        <f t="shared" si="7"/>
        <v>0</v>
      </c>
      <c r="S85" s="9">
        <f t="shared" si="7"/>
        <v>0</v>
      </c>
    </row>
    <row r="86" spans="1:22" ht="24" x14ac:dyDescent="0.3">
      <c r="A86" s="7" t="s">
        <v>69</v>
      </c>
      <c r="B86" s="8">
        <v>27</v>
      </c>
      <c r="C86" s="8">
        <v>21</v>
      </c>
      <c r="D86" s="8">
        <v>11</v>
      </c>
      <c r="E86" s="8">
        <v>9.1999999999999993</v>
      </c>
      <c r="F86" s="8">
        <v>2.2000000000000002</v>
      </c>
      <c r="G86" s="8">
        <v>5.3</v>
      </c>
      <c r="H86" s="8">
        <v>2.8</v>
      </c>
      <c r="I86" s="9">
        <v>288</v>
      </c>
      <c r="J86" s="10"/>
      <c r="L86" s="8">
        <f t="shared" si="7"/>
        <v>0</v>
      </c>
      <c r="M86" s="8">
        <f t="shared" si="7"/>
        <v>0</v>
      </c>
      <c r="N86" s="8">
        <f t="shared" si="7"/>
        <v>0</v>
      </c>
      <c r="O86" s="8">
        <f t="shared" si="7"/>
        <v>0</v>
      </c>
      <c r="P86" s="8">
        <f t="shared" si="7"/>
        <v>0</v>
      </c>
      <c r="Q86" s="8">
        <f t="shared" si="7"/>
        <v>0</v>
      </c>
      <c r="R86" s="8">
        <f t="shared" si="7"/>
        <v>0</v>
      </c>
      <c r="S86" s="9">
        <f t="shared" si="7"/>
        <v>0</v>
      </c>
    </row>
    <row r="87" spans="1:22" ht="24" x14ac:dyDescent="0.3">
      <c r="A87" s="7" t="s">
        <v>183</v>
      </c>
      <c r="B87" s="8">
        <v>8.3000000000000007</v>
      </c>
      <c r="C87" s="8">
        <v>5.4</v>
      </c>
      <c r="D87" s="8">
        <v>5.0999999999999996</v>
      </c>
      <c r="E87" s="8">
        <v>0.5</v>
      </c>
      <c r="F87" s="8">
        <v>0.3</v>
      </c>
      <c r="G87" s="8">
        <v>0</v>
      </c>
      <c r="H87" s="8">
        <v>0.17</v>
      </c>
      <c r="I87" s="9">
        <v>60</v>
      </c>
      <c r="J87" s="10">
        <v>1.5</v>
      </c>
      <c r="L87" s="8">
        <f t="shared" si="7"/>
        <v>12.450000000000001</v>
      </c>
      <c r="M87" s="8">
        <f t="shared" si="7"/>
        <v>8.1000000000000014</v>
      </c>
      <c r="N87" s="8">
        <f t="shared" si="7"/>
        <v>7.6499999999999995</v>
      </c>
      <c r="O87" s="8">
        <f t="shared" si="7"/>
        <v>0.75</v>
      </c>
      <c r="P87" s="8">
        <f t="shared" si="7"/>
        <v>0.44999999999999996</v>
      </c>
      <c r="Q87" s="8">
        <f t="shared" si="7"/>
        <v>0</v>
      </c>
      <c r="R87" s="8">
        <f t="shared" si="7"/>
        <v>0.255</v>
      </c>
      <c r="S87" s="9">
        <f t="shared" si="7"/>
        <v>90</v>
      </c>
    </row>
    <row r="89" spans="1:22" x14ac:dyDescent="0.3">
      <c r="K89" s="14" t="s">
        <v>70</v>
      </c>
      <c r="L89" s="2" t="s">
        <v>1</v>
      </c>
      <c r="M89" s="2" t="s">
        <v>2</v>
      </c>
      <c r="N89" s="2" t="s">
        <v>3</v>
      </c>
      <c r="O89" s="2" t="s">
        <v>4</v>
      </c>
      <c r="P89" s="2" t="s">
        <v>5</v>
      </c>
      <c r="Q89" s="2" t="s">
        <v>6</v>
      </c>
      <c r="R89" s="2" t="s">
        <v>7</v>
      </c>
      <c r="S89" s="3" t="s">
        <v>8</v>
      </c>
      <c r="T89" s="15" t="s">
        <v>71</v>
      </c>
      <c r="U89" s="16"/>
      <c r="V89" s="16"/>
    </row>
    <row r="90" spans="1:22" x14ac:dyDescent="0.3">
      <c r="L90">
        <f>SUM(L7:L87)</f>
        <v>122.60600000000001</v>
      </c>
      <c r="M90">
        <f t="shared" ref="M90:R90" si="8">SUM(M7:M87)</f>
        <v>70.573999999999998</v>
      </c>
      <c r="N90">
        <f t="shared" si="8"/>
        <v>22</v>
      </c>
      <c r="O90">
        <f t="shared" si="8"/>
        <v>59.126000000000005</v>
      </c>
      <c r="P90">
        <f t="shared" si="8"/>
        <v>17.064</v>
      </c>
      <c r="Q90">
        <f t="shared" si="8"/>
        <v>21.788000000000004</v>
      </c>
      <c r="R90">
        <f t="shared" si="8"/>
        <v>3.88</v>
      </c>
      <c r="S90">
        <f>SUM(S7:S87)</f>
        <v>1348.6999999999998</v>
      </c>
      <c r="T90" s="17">
        <f>SUM(L90:R90)*0.1</f>
        <v>31.703800000000008</v>
      </c>
      <c r="U90" s="18">
        <f>T90/2</f>
        <v>15.851900000000004</v>
      </c>
      <c r="V90" t="s">
        <v>72</v>
      </c>
    </row>
    <row r="92" spans="1:22" ht="14.55" customHeight="1" x14ac:dyDescent="0.3">
      <c r="I92" s="33" t="s">
        <v>73</v>
      </c>
      <c r="J92" s="33"/>
      <c r="K92" t="s">
        <v>74</v>
      </c>
      <c r="L92" s="19" t="s">
        <v>75</v>
      </c>
      <c r="M92" s="19" t="s">
        <v>76</v>
      </c>
      <c r="N92" s="20" t="s">
        <v>77</v>
      </c>
      <c r="O92" s="19" t="s">
        <v>78</v>
      </c>
      <c r="P92" s="20" t="s">
        <v>79</v>
      </c>
      <c r="Q92" s="19" t="s">
        <v>80</v>
      </c>
      <c r="R92" s="20" t="s">
        <v>81</v>
      </c>
      <c r="S92" s="19" t="s">
        <v>82</v>
      </c>
    </row>
    <row r="93" spans="1:22" x14ac:dyDescent="0.3">
      <c r="I93" s="33"/>
      <c r="J93" s="33"/>
      <c r="K93" t="s">
        <v>83</v>
      </c>
      <c r="L93" t="s">
        <v>84</v>
      </c>
      <c r="M93" t="s">
        <v>85</v>
      </c>
      <c r="N93" s="21" t="s">
        <v>86</v>
      </c>
      <c r="O93" t="s">
        <v>87</v>
      </c>
      <c r="P93" s="21" t="s">
        <v>88</v>
      </c>
      <c r="Q93" t="s">
        <v>89</v>
      </c>
      <c r="R93" s="20" t="s">
        <v>81</v>
      </c>
      <c r="S93" t="s">
        <v>90</v>
      </c>
    </row>
    <row r="94" spans="1:22" x14ac:dyDescent="0.3">
      <c r="I94" s="33"/>
      <c r="J94" s="33"/>
      <c r="K94" t="s">
        <v>91</v>
      </c>
      <c r="L94" t="s">
        <v>92</v>
      </c>
      <c r="M94" t="s">
        <v>93</v>
      </c>
      <c r="N94" s="21" t="s">
        <v>94</v>
      </c>
      <c r="O94" t="s">
        <v>95</v>
      </c>
      <c r="P94" s="21" t="s">
        <v>96</v>
      </c>
      <c r="Q94" t="s">
        <v>89</v>
      </c>
      <c r="R94" s="20" t="s">
        <v>81</v>
      </c>
      <c r="S94" t="s">
        <v>97</v>
      </c>
    </row>
    <row r="95" spans="1:22" x14ac:dyDescent="0.3">
      <c r="N95" t="s">
        <v>98</v>
      </c>
    </row>
    <row r="96" spans="1:22" x14ac:dyDescent="0.3">
      <c r="I96" t="s">
        <v>99</v>
      </c>
    </row>
  </sheetData>
  <mergeCells count="2">
    <mergeCell ref="J1:K1"/>
    <mergeCell ref="I92:J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Valor nutricional</vt:lpstr>
      <vt:lpstr>Novo dia</vt:lpstr>
      <vt:lpstr>03-01</vt:lpstr>
      <vt:lpstr>02-01</vt:lpstr>
      <vt:lpstr>01-01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Gonçalves</dc:creator>
  <cp:lastModifiedBy>João Gonçalves</cp:lastModifiedBy>
  <dcterms:created xsi:type="dcterms:W3CDTF">2026-01-01T18:53:18Z</dcterms:created>
  <dcterms:modified xsi:type="dcterms:W3CDTF">2026-01-03T14:43:27Z</dcterms:modified>
</cp:coreProperties>
</file>